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minmezouari/Downloads/"/>
    </mc:Choice>
  </mc:AlternateContent>
  <xr:revisionPtr revIDLastSave="0" documentId="13_ncr:1_{006D528C-77FE-E14D-A322-506D63D8E7F6}" xr6:coauthVersionLast="47" xr6:coauthVersionMax="47" xr10:uidLastSave="{00000000-0000-0000-0000-000000000000}"/>
  <bookViews>
    <workbookView xWindow="0" yWindow="700" windowWidth="27040" windowHeight="15840" xr2:uid="{410CF195-F97B-43DB-BBD2-72387275D9F8}"/>
  </bookViews>
  <sheets>
    <sheet name="Model Processing" sheetId="2" r:id="rId1"/>
    <sheet name="Investment Simulation" sheetId="3" r:id="rId2"/>
    <sheet name="Inputs1" sheetId="4" r:id="rId3"/>
    <sheet name="Inputs2" sheetId="5" r:id="rId4"/>
    <sheet name="Inputs3" sheetId="6" r:id="rId5"/>
    <sheet name="Inputs4" sheetId="7" r:id="rId6"/>
    <sheet name="Inputs5" sheetId="8" r:id="rId7"/>
    <sheet name="Inputs6" sheetId="9" r:id="rId8"/>
    <sheet name="Inputs7" sheetId="10" r:id="rId9"/>
    <sheet name="Inputs8" sheetId="11" r:id="rId10"/>
    <sheet name="Inputs9" sheetId="12" r:id="rId11"/>
    <sheet name="Inputs10" sheetId="13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3" l="1"/>
  <c r="Q3" i="3"/>
  <c r="R3" i="3"/>
  <c r="G10" i="2"/>
  <c r="G9" i="2"/>
  <c r="G8" i="2"/>
  <c r="G7" i="2"/>
  <c r="G6" i="2"/>
  <c r="G5" i="2"/>
  <c r="G4" i="2"/>
  <c r="G3" i="2"/>
  <c r="G2" i="2"/>
  <c r="G1" i="2"/>
</calcChain>
</file>

<file path=xl/sharedStrings.xml><?xml version="1.0" encoding="utf-8"?>
<sst xmlns="http://schemas.openxmlformats.org/spreadsheetml/2006/main" count="70" uniqueCount="56">
  <si>
    <t>Output</t>
  </si>
  <si>
    <t>INVESTMENT CLASS ALLOCATION</t>
  </si>
  <si>
    <t>US Stocks</t>
  </si>
  <si>
    <t>US Bonds</t>
  </si>
  <si>
    <t>Intl. Stocks</t>
  </si>
  <si>
    <t>Intl. Bonds</t>
  </si>
  <si>
    <t>Real Estate</t>
  </si>
  <si>
    <t>Cash</t>
  </si>
  <si>
    <t>INVESTMENT CLASS RETURNS</t>
  </si>
  <si>
    <t>SCENARIO</t>
  </si>
  <si>
    <t>#</t>
  </si>
  <si>
    <t>RETURN</t>
  </si>
  <si>
    <t>SUMMARY STATISTICS</t>
  </si>
  <si>
    <t>#Scenarios</t>
  </si>
  <si>
    <t>Mean</t>
  </si>
  <si>
    <t>Std. Dev.</t>
  </si>
  <si>
    <t>SIMULATION RESULTS</t>
  </si>
  <si>
    <t>Model Processing Macro Summary</t>
  </si>
  <si>
    <t>INV.</t>
  </si>
  <si>
    <t>Investment Sim Macro Summary</t>
  </si>
  <si>
    <t>*Investment Class Information:</t>
  </si>
  <si>
    <t>Class</t>
  </si>
  <si>
    <t>Allocation</t>
  </si>
  <si>
    <t>Returns</t>
  </si>
  <si>
    <t>Intl Stocks</t>
  </si>
  <si>
    <t>Intl Bonds</t>
  </si>
  <si>
    <t>1 - SUM</t>
  </si>
  <si>
    <t>30-35%</t>
  </si>
  <si>
    <t>15-20%</t>
  </si>
  <si>
    <t>20-25%</t>
  </si>
  <si>
    <t>10-15%</t>
  </si>
  <si>
    <t>6.5-12.5%</t>
  </si>
  <si>
    <t>3-7%</t>
  </si>
  <si>
    <t>4-10%</t>
  </si>
  <si>
    <t>2-6%</t>
  </si>
  <si>
    <t>5.5-10.5%</t>
  </si>
  <si>
    <t>2-4%</t>
  </si>
  <si>
    <t>*Press the button to process inputs</t>
  </si>
  <si>
    <t>the VBA will input data from sheet inputs1 to 10</t>
  </si>
  <si>
    <t>and save the results from column I to R</t>
  </si>
  <si>
    <t xml:space="preserve">The macro will simulate investment profolios based on </t>
  </si>
  <si>
    <t>the amount of scenarios users want to create</t>
  </si>
  <si>
    <t>*Press the first button to simulate Scenarios</t>
  </si>
  <si>
    <t>*Press the second to record simulation.</t>
  </si>
  <si>
    <t xml:space="preserve"> Model Inputs</t>
  </si>
  <si>
    <t>Average</t>
  </si>
  <si>
    <t>Sum</t>
  </si>
  <si>
    <t>Max</t>
  </si>
  <si>
    <t>Min</t>
  </si>
  <si>
    <t>Counts</t>
  </si>
  <si>
    <t>GeoMean</t>
  </si>
  <si>
    <t>Std.</t>
  </si>
  <si>
    <t>HarMean</t>
  </si>
  <si>
    <t>Median</t>
  </si>
  <si>
    <t>Kurt</t>
  </si>
  <si>
    <t>Metrics/Runs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</si>
</sst>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rgb="FF000000"/>
      <name val="Aptos Narrow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10" fontId="0" fillId="0" borderId="0" xfId="1" applyNumberFormat="1" applyFont="1"/>
    <xf numFmtId="10" fontId="0" fillId="0" borderId="0" xfId="0" applyNumberFormat="1"/>
    <xf numFmtId="2" fontId="0" fillId="0" borderId="4" xfId="0" applyNumberFormat="1" applyBorder="1"/>
    <xf numFmtId="0" fontId="0" fillId="0" borderId="4" xfId="0" applyBorder="1"/>
    <xf numFmtId="0" fontId="2" fillId="0" borderId="1" xfId="0" applyFont="1" applyBorder="1"/>
    <xf numFmtId="0" fontId="3" fillId="0" borderId="0" xfId="0" applyFont="1"/>
    <xf numFmtId="0" fontId="2" fillId="0" borderId="4" xfId="0" applyFont="1" applyBorder="1"/>
    <xf numFmtId="10" fontId="0" fillId="0" borderId="4" xfId="1" applyNumberFormat="1" applyFont="1" applyBorder="1"/>
    <xf numFmtId="10" fontId="0" fillId="0" borderId="7" xfId="1" applyNumberFormat="1" applyFont="1" applyBorder="1"/>
    <xf numFmtId="10" fontId="2" fillId="0" borderId="5" xfId="1" applyNumberFormat="1" applyFont="1" applyBorder="1"/>
    <xf numFmtId="10" fontId="2" fillId="0" borderId="9" xfId="1" applyNumberFormat="1" applyFont="1" applyBorder="1"/>
    <xf numFmtId="0" fontId="0" fillId="0" borderId="8" xfId="0" applyBorder="1"/>
    <xf numFmtId="10" fontId="0" fillId="0" borderId="8" xfId="1" applyNumberFormat="1" applyFont="1" applyBorder="1"/>
    <xf numFmtId="0" fontId="3" fillId="0" borderId="7" xfId="0" applyFont="1" applyBorder="1"/>
    <xf numFmtId="2" fontId="0" fillId="0" borderId="5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0</xdr:row>
          <xdr:rowOff>12700</xdr:rowOff>
        </xdr:from>
        <xdr:to>
          <xdr:col>21</xdr:col>
          <xdr:colOff>635000</xdr:colOff>
          <xdr:row>3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MODEL PROCESSING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12</xdr:row>
          <xdr:rowOff>38100</xdr:rowOff>
        </xdr:from>
        <xdr:to>
          <xdr:col>21</xdr:col>
          <xdr:colOff>660400</xdr:colOff>
          <xdr:row>15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16</xdr:row>
          <xdr:rowOff>0</xdr:rowOff>
        </xdr:from>
        <xdr:to>
          <xdr:col>22</xdr:col>
          <xdr:colOff>0</xdr:colOff>
          <xdr:row>19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Record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19BA8-E3A8-4362-930C-F86190DF023A}">
  <sheetPr codeName="Sheet2">
    <tabColor rgb="FF92D050"/>
  </sheetPr>
  <dimension ref="A1:T11"/>
  <sheetViews>
    <sheetView tabSelected="1" workbookViewId="0">
      <selection activeCell="G4" sqref="G4"/>
    </sheetView>
  </sheetViews>
  <sheetFormatPr baseColWidth="10" defaultColWidth="8.83203125" defaultRowHeight="15" x14ac:dyDescent="0.2"/>
  <cols>
    <col min="1" max="5" width="5.1640625" customWidth="1"/>
    <col min="6" max="6" width="2" customWidth="1"/>
    <col min="8" max="8" width="11.33203125" customWidth="1"/>
    <col min="9" max="18" width="5.5" bestFit="1" customWidth="1"/>
    <col min="19" max="19" width="1.83203125" customWidth="1"/>
  </cols>
  <sheetData>
    <row r="1" spans="1:20" x14ac:dyDescent="0.2">
      <c r="A1">
        <v>2</v>
      </c>
      <c r="B1">
        <v>7</v>
      </c>
      <c r="C1">
        <v>2</v>
      </c>
      <c r="D1">
        <v>9</v>
      </c>
      <c r="E1">
        <v>3</v>
      </c>
      <c r="G1" s="17">
        <f>AVERAGE(A1:E1)</f>
        <v>4.5999999999999996</v>
      </c>
      <c r="H1" s="21" t="s">
        <v>45</v>
      </c>
      <c r="I1" s="19">
        <v>5.6</v>
      </c>
      <c r="J1" s="4">
        <v>7.2</v>
      </c>
      <c r="K1" s="4">
        <v>5.2</v>
      </c>
      <c r="L1" s="4">
        <v>3</v>
      </c>
      <c r="M1" s="4">
        <v>6</v>
      </c>
      <c r="N1" s="4">
        <v>6.6</v>
      </c>
      <c r="O1" s="4">
        <v>6.2</v>
      </c>
      <c r="P1" s="4">
        <v>5.4</v>
      </c>
      <c r="Q1" s="4">
        <v>7.2</v>
      </c>
      <c r="R1" s="4">
        <v>4.5999999999999996</v>
      </c>
    </row>
    <row r="2" spans="1:20" x14ac:dyDescent="0.2">
      <c r="A2">
        <v>5</v>
      </c>
      <c r="B2">
        <v>9</v>
      </c>
      <c r="C2">
        <v>6</v>
      </c>
      <c r="D2">
        <v>7</v>
      </c>
      <c r="E2">
        <v>9</v>
      </c>
      <c r="G2" s="17">
        <f>SUM(A2:E2)</f>
        <v>36</v>
      </c>
      <c r="H2" s="22" t="s">
        <v>46</v>
      </c>
      <c r="I2" s="19">
        <v>27</v>
      </c>
      <c r="J2" s="4">
        <v>34</v>
      </c>
      <c r="K2" s="4">
        <v>24</v>
      </c>
      <c r="L2" s="4">
        <v>34</v>
      </c>
      <c r="M2" s="4">
        <v>26</v>
      </c>
      <c r="N2" s="4">
        <v>35</v>
      </c>
      <c r="O2" s="4">
        <v>35</v>
      </c>
      <c r="P2" s="4">
        <v>22</v>
      </c>
      <c r="Q2" s="4">
        <v>17</v>
      </c>
      <c r="R2" s="4">
        <v>36</v>
      </c>
    </row>
    <row r="3" spans="1:20" x14ac:dyDescent="0.2">
      <c r="A3">
        <v>4</v>
      </c>
      <c r="B3">
        <v>6</v>
      </c>
      <c r="C3">
        <v>3</v>
      </c>
      <c r="D3">
        <v>1</v>
      </c>
      <c r="E3">
        <v>9</v>
      </c>
      <c r="G3" s="17">
        <f>MAX(A3:E3)</f>
        <v>9</v>
      </c>
      <c r="H3" s="22" t="s">
        <v>47</v>
      </c>
      <c r="I3" s="19">
        <v>9</v>
      </c>
      <c r="J3" s="4">
        <v>9</v>
      </c>
      <c r="K3" s="4">
        <v>8</v>
      </c>
      <c r="L3" s="4">
        <v>10</v>
      </c>
      <c r="M3" s="4">
        <v>10</v>
      </c>
      <c r="N3" s="4">
        <v>8</v>
      </c>
      <c r="O3" s="4">
        <v>8</v>
      </c>
      <c r="P3" s="4">
        <v>9</v>
      </c>
      <c r="Q3" s="4">
        <v>10</v>
      </c>
      <c r="R3" s="4">
        <v>9</v>
      </c>
    </row>
    <row r="4" spans="1:20" x14ac:dyDescent="0.2">
      <c r="A4">
        <v>5</v>
      </c>
      <c r="B4">
        <v>10</v>
      </c>
      <c r="C4">
        <v>2</v>
      </c>
      <c r="D4">
        <v>10</v>
      </c>
      <c r="E4">
        <v>4</v>
      </c>
      <c r="G4" s="17">
        <f>MIN(A4:E4)</f>
        <v>2</v>
      </c>
      <c r="H4" s="22" t="s">
        <v>48</v>
      </c>
      <c r="I4" s="19">
        <v>2</v>
      </c>
      <c r="J4" s="4">
        <v>2</v>
      </c>
      <c r="K4" s="4">
        <v>5</v>
      </c>
      <c r="L4" s="4">
        <v>1</v>
      </c>
      <c r="M4" s="4">
        <v>2</v>
      </c>
      <c r="N4" s="4">
        <v>1</v>
      </c>
      <c r="O4" s="4">
        <v>3</v>
      </c>
      <c r="P4" s="4">
        <v>2</v>
      </c>
      <c r="Q4" s="4">
        <v>1</v>
      </c>
      <c r="R4" s="4">
        <v>2</v>
      </c>
    </row>
    <row r="5" spans="1:20" x14ac:dyDescent="0.2">
      <c r="A5">
        <v>4</v>
      </c>
      <c r="B5">
        <v>10</v>
      </c>
      <c r="C5">
        <v>7</v>
      </c>
      <c r="D5">
        <v>5</v>
      </c>
      <c r="E5">
        <v>8</v>
      </c>
      <c r="G5" s="17">
        <f>COUNT(A5:E5)</f>
        <v>5</v>
      </c>
      <c r="H5" s="22" t="s">
        <v>49</v>
      </c>
      <c r="I5" s="19">
        <v>5</v>
      </c>
      <c r="J5" s="4">
        <v>5</v>
      </c>
      <c r="K5" s="4">
        <v>5</v>
      </c>
      <c r="L5" s="4">
        <v>5</v>
      </c>
      <c r="M5" s="4">
        <v>5</v>
      </c>
      <c r="N5" s="4">
        <v>5</v>
      </c>
      <c r="O5" s="4">
        <v>5</v>
      </c>
      <c r="P5" s="4">
        <v>5</v>
      </c>
      <c r="Q5" s="4">
        <v>5</v>
      </c>
      <c r="R5" s="4">
        <v>5</v>
      </c>
      <c r="T5" s="7" t="s">
        <v>17</v>
      </c>
    </row>
    <row r="6" spans="1:20" x14ac:dyDescent="0.2">
      <c r="A6">
        <v>5</v>
      </c>
      <c r="B6">
        <v>10</v>
      </c>
      <c r="C6">
        <v>1</v>
      </c>
      <c r="D6">
        <v>9</v>
      </c>
      <c r="E6">
        <v>4</v>
      </c>
      <c r="G6" s="17">
        <f>GEOMEAN(A6:E6)</f>
        <v>4.4776949269404307</v>
      </c>
      <c r="H6" s="22" t="s">
        <v>50</v>
      </c>
      <c r="I6" s="19">
        <v>5.3478073738980099</v>
      </c>
      <c r="J6" s="4">
        <v>3.1036911478307196</v>
      </c>
      <c r="K6" s="4">
        <v>4.7428812195586234</v>
      </c>
      <c r="L6" s="4">
        <v>4.1289179173333679</v>
      </c>
      <c r="M6" s="4">
        <v>6.6453980594897404</v>
      </c>
      <c r="N6" s="4">
        <v>5.7851550240157632</v>
      </c>
      <c r="O6" s="4">
        <v>5.650469000989534</v>
      </c>
      <c r="P6" s="4">
        <v>4.0953450221584387</v>
      </c>
      <c r="Q6" s="4">
        <v>4.5803440978471652</v>
      </c>
      <c r="R6" s="4">
        <v>4.4776949269404307</v>
      </c>
      <c r="T6" t="s">
        <v>37</v>
      </c>
    </row>
    <row r="7" spans="1:20" x14ac:dyDescent="0.2">
      <c r="A7">
        <v>6</v>
      </c>
      <c r="B7">
        <v>5</v>
      </c>
      <c r="C7">
        <v>2</v>
      </c>
      <c r="D7">
        <v>6</v>
      </c>
      <c r="E7">
        <v>2</v>
      </c>
      <c r="G7" s="17">
        <f>_xlfn.STDEV.S(A7:E7)</f>
        <v>2.0493901531919194</v>
      </c>
      <c r="H7" s="22" t="s">
        <v>51</v>
      </c>
      <c r="I7" s="19">
        <v>3.2093613071762421</v>
      </c>
      <c r="J7" s="4">
        <v>3.1304951684997055</v>
      </c>
      <c r="K7" s="4">
        <v>2.3874672772626648</v>
      </c>
      <c r="L7" s="4">
        <v>3.7013511046643495</v>
      </c>
      <c r="M7" s="4">
        <v>2.5884358211089573</v>
      </c>
      <c r="N7" s="4">
        <v>2.5884358211089569</v>
      </c>
      <c r="O7" s="4">
        <v>2.7928480087537877</v>
      </c>
      <c r="P7" s="4">
        <v>3.3911649915626341</v>
      </c>
      <c r="Q7" s="4">
        <v>2.4899799195977472</v>
      </c>
      <c r="R7" s="4">
        <v>2.0493901531919194</v>
      </c>
      <c r="T7" t="s">
        <v>38</v>
      </c>
    </row>
    <row r="8" spans="1:20" x14ac:dyDescent="0.2">
      <c r="A8">
        <v>8</v>
      </c>
      <c r="B8">
        <v>6</v>
      </c>
      <c r="C8">
        <v>1</v>
      </c>
      <c r="D8">
        <v>2</v>
      </c>
      <c r="E8">
        <v>9</v>
      </c>
      <c r="G8" s="17">
        <f>HARMEAN(A8:E8)</f>
        <v>2.6277372262773726</v>
      </c>
      <c r="H8" s="22" t="s">
        <v>52</v>
      </c>
      <c r="I8" s="19">
        <v>2.4489795918367347</v>
      </c>
      <c r="J8" s="4">
        <v>3.9387308533916849</v>
      </c>
      <c r="K8" s="4">
        <v>7.4074074074074066</v>
      </c>
      <c r="L8" s="4">
        <v>3.3123028391167186</v>
      </c>
      <c r="M8" s="4">
        <v>5.8550185873605942</v>
      </c>
      <c r="N8" s="4">
        <v>4.0776699029126213</v>
      </c>
      <c r="O8" s="4">
        <v>2.9654036243822079</v>
      </c>
      <c r="P8" s="4">
        <v>2.3595505617977528</v>
      </c>
      <c r="Q8" s="4">
        <v>3.1578947368421053</v>
      </c>
      <c r="R8" s="4">
        <v>2.6277372262773726</v>
      </c>
      <c r="T8" t="s">
        <v>39</v>
      </c>
    </row>
    <row r="9" spans="1:20" x14ac:dyDescent="0.2">
      <c r="A9">
        <v>6</v>
      </c>
      <c r="B9">
        <v>10</v>
      </c>
      <c r="C9">
        <v>4</v>
      </c>
      <c r="D9">
        <v>3</v>
      </c>
      <c r="E9">
        <v>5</v>
      </c>
      <c r="G9" s="17">
        <f>MEDIAN(A9:E9)</f>
        <v>5</v>
      </c>
      <c r="H9" s="22" t="s">
        <v>53</v>
      </c>
      <c r="I9" s="19">
        <v>4</v>
      </c>
      <c r="J9" s="4">
        <v>7</v>
      </c>
      <c r="K9" s="4">
        <v>6</v>
      </c>
      <c r="L9" s="4">
        <v>6</v>
      </c>
      <c r="M9" s="4">
        <v>5</v>
      </c>
      <c r="N9" s="4">
        <v>8</v>
      </c>
      <c r="O9" s="4">
        <v>4</v>
      </c>
      <c r="P9" s="4">
        <v>4</v>
      </c>
      <c r="Q9" s="4">
        <v>4</v>
      </c>
      <c r="R9" s="4">
        <v>5</v>
      </c>
    </row>
    <row r="10" spans="1:20" ht="16" thickBot="1" x14ac:dyDescent="0.25">
      <c r="A10">
        <v>8</v>
      </c>
      <c r="B10">
        <v>10</v>
      </c>
      <c r="C10">
        <v>4</v>
      </c>
      <c r="D10">
        <v>6</v>
      </c>
      <c r="E10">
        <v>3</v>
      </c>
      <c r="G10" s="18">
        <f>KURT(A10:E10)</f>
        <v>-1.5437239738251014</v>
      </c>
      <c r="H10" s="22" t="s">
        <v>54</v>
      </c>
      <c r="I10" s="20">
        <v>2.6643598615916986</v>
      </c>
      <c r="J10" s="16">
        <v>1.1285154859380579</v>
      </c>
      <c r="K10" s="16">
        <v>-3.3333333333333321</v>
      </c>
      <c r="L10" s="16">
        <v>1.0499999999999972</v>
      </c>
      <c r="M10" s="16">
        <v>-2.9826868288406754</v>
      </c>
      <c r="N10" s="16">
        <v>-1.3011972274732146</v>
      </c>
      <c r="O10" s="16">
        <v>-1.3011972274732155</v>
      </c>
      <c r="P10" s="16">
        <v>-0.17751479289940342</v>
      </c>
      <c r="Q10" s="16">
        <v>-2.7036599763872484</v>
      </c>
      <c r="R10" s="16">
        <v>-1.5437239738251014</v>
      </c>
    </row>
    <row r="11" spans="1:20" ht="16" thickBot="1" x14ac:dyDescent="0.25">
      <c r="A11" s="24" t="s">
        <v>44</v>
      </c>
      <c r="B11" s="25"/>
      <c r="C11" s="25"/>
      <c r="D11" s="25"/>
      <c r="E11" s="26"/>
      <c r="G11" s="6" t="s">
        <v>0</v>
      </c>
      <c r="H11" s="23" t="s">
        <v>55</v>
      </c>
      <c r="I11" s="8">
        <v>1</v>
      </c>
      <c r="J11" s="8">
        <v>2</v>
      </c>
      <c r="K11" s="8">
        <v>3</v>
      </c>
      <c r="L11" s="8">
        <v>4</v>
      </c>
      <c r="M11" s="8">
        <v>5</v>
      </c>
      <c r="N11" s="8">
        <v>6</v>
      </c>
      <c r="O11" s="8">
        <v>7</v>
      </c>
      <c r="P11" s="8">
        <v>8</v>
      </c>
      <c r="Q11" s="8">
        <v>9</v>
      </c>
      <c r="R11" s="8">
        <v>10</v>
      </c>
    </row>
  </sheetData>
  <mergeCells count="1">
    <mergeCell ref="A11:E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elProcessing">
                <anchor moveWithCells="1" sizeWithCells="1">
                  <from>
                    <xdr:col>19</xdr:col>
                    <xdr:colOff>12700</xdr:colOff>
                    <xdr:row>0</xdr:row>
                    <xdr:rowOff>12700</xdr:rowOff>
                  </from>
                  <to>
                    <xdr:col>21</xdr:col>
                    <xdr:colOff>635000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D3B0-C775-4651-A3EF-6B68A34A2B97}">
  <sheetPr codeName="Sheet3">
    <tabColor rgb="FF92D050"/>
  </sheetPr>
  <dimension ref="A1:X202"/>
  <sheetViews>
    <sheetView zoomScale="75" zoomScaleNormal="75" workbookViewId="0">
      <selection activeCell="P8" sqref="P8:R8"/>
    </sheetView>
  </sheetViews>
  <sheetFormatPr baseColWidth="10" defaultColWidth="8.83203125" defaultRowHeight="15" x14ac:dyDescent="0.2"/>
  <cols>
    <col min="1" max="1" width="9.5" bestFit="1" customWidth="1"/>
    <col min="4" max="5" width="10.5" bestFit="1" customWidth="1"/>
    <col min="6" max="6" width="10.6640625" bestFit="1" customWidth="1"/>
    <col min="7" max="7" width="5.5" bestFit="1" customWidth="1"/>
    <col min="8" max="8" width="11" bestFit="1" customWidth="1"/>
    <col min="10" max="11" width="10.5" bestFit="1" customWidth="1"/>
    <col min="12" max="12" width="10.6640625" bestFit="1" customWidth="1"/>
    <col min="13" max="13" width="6" bestFit="1" customWidth="1"/>
    <col min="14" max="14" width="8.1640625" bestFit="1" customWidth="1"/>
    <col min="15" max="15" width="1.1640625" customWidth="1"/>
    <col min="17" max="17" width="5.83203125" bestFit="1" customWidth="1"/>
    <col min="18" max="18" width="8.33203125" bestFit="1" customWidth="1"/>
    <col min="19" max="19" width="1.1640625" customWidth="1"/>
  </cols>
  <sheetData>
    <row r="1" spans="1:24" ht="16" thickBot="1" x14ac:dyDescent="0.25">
      <c r="A1" s="8" t="s">
        <v>9</v>
      </c>
      <c r="B1" s="27" t="s">
        <v>1</v>
      </c>
      <c r="C1" s="27"/>
      <c r="D1" s="27"/>
      <c r="E1" s="27"/>
      <c r="F1" s="27"/>
      <c r="G1" s="27"/>
      <c r="H1" s="27" t="s">
        <v>8</v>
      </c>
      <c r="I1" s="27"/>
      <c r="J1" s="27"/>
      <c r="K1" s="27"/>
      <c r="L1" s="27"/>
      <c r="M1" s="27"/>
      <c r="N1" s="11" t="s">
        <v>18</v>
      </c>
      <c r="P1" s="28" t="s">
        <v>12</v>
      </c>
      <c r="Q1" s="28"/>
      <c r="R1" s="28"/>
      <c r="T1" s="29" t="s">
        <v>19</v>
      </c>
      <c r="U1" s="29"/>
      <c r="V1" s="29"/>
      <c r="W1" s="29"/>
      <c r="X1" s="29"/>
    </row>
    <row r="2" spans="1:24" ht="17" thickTop="1" thickBot="1" x14ac:dyDescent="0.25">
      <c r="A2" s="5" t="s">
        <v>10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2</v>
      </c>
      <c r="I2" s="10" t="s">
        <v>3</v>
      </c>
      <c r="J2" s="10" t="s">
        <v>4</v>
      </c>
      <c r="K2" s="10" t="s">
        <v>5</v>
      </c>
      <c r="L2" s="10" t="s">
        <v>6</v>
      </c>
      <c r="M2" s="10" t="s">
        <v>7</v>
      </c>
      <c r="N2" s="12" t="s">
        <v>11</v>
      </c>
      <c r="P2" s="2" t="s">
        <v>13</v>
      </c>
      <c r="Q2" s="2" t="s">
        <v>14</v>
      </c>
      <c r="R2" s="2" t="s">
        <v>15</v>
      </c>
      <c r="T2" s="2" t="s">
        <v>40</v>
      </c>
    </row>
    <row r="3" spans="1:24" ht="16" thickTop="1" x14ac:dyDescent="0.2">
      <c r="A3">
        <v>1</v>
      </c>
      <c r="B3">
        <v>0.33</v>
      </c>
      <c r="C3">
        <v>0.19</v>
      </c>
      <c r="D3">
        <v>0.25</v>
      </c>
      <c r="E3">
        <v>0.12</v>
      </c>
      <c r="F3">
        <v>0.12</v>
      </c>
      <c r="G3">
        <v>-1.0000000000000009E-2</v>
      </c>
      <c r="H3">
        <v>8.5999999999999993E-2</v>
      </c>
      <c r="I3">
        <v>0.06</v>
      </c>
      <c r="J3">
        <v>0.09</v>
      </c>
      <c r="K3">
        <v>0.04</v>
      </c>
      <c r="L3">
        <v>7.9000000000000001E-2</v>
      </c>
      <c r="M3">
        <v>0.02</v>
      </c>
      <c r="N3">
        <v>7.6359999999999997E-2</v>
      </c>
      <c r="P3">
        <f>COUNT(N:N)</f>
        <v>200</v>
      </c>
      <c r="Q3" s="3">
        <f>AVERAGE(N:N)</f>
        <v>7.2130949999999958E-2</v>
      </c>
      <c r="R3" s="2">
        <f>STDEV(N:N)</f>
        <v>7.9779978595342863E-3</v>
      </c>
      <c r="T3" t="s">
        <v>41</v>
      </c>
    </row>
    <row r="4" spans="1:24" x14ac:dyDescent="0.2">
      <c r="A4">
        <v>2</v>
      </c>
      <c r="B4">
        <v>0.31</v>
      </c>
      <c r="C4">
        <v>0.17</v>
      </c>
      <c r="D4">
        <v>0.25</v>
      </c>
      <c r="E4">
        <v>0.1</v>
      </c>
      <c r="F4">
        <v>0.14000000000000001</v>
      </c>
      <c r="G4">
        <v>3.0000000000000027E-2</v>
      </c>
      <c r="H4">
        <v>6.8000000000000005E-2</v>
      </c>
      <c r="I4">
        <v>0.06</v>
      </c>
      <c r="J4">
        <v>0.08</v>
      </c>
      <c r="K4">
        <v>0.04</v>
      </c>
      <c r="L4">
        <v>7.1999999999999995E-2</v>
      </c>
      <c r="M4">
        <v>0.04</v>
      </c>
      <c r="N4">
        <v>6.6560000000000022E-2</v>
      </c>
      <c r="T4" s="1" t="s">
        <v>20</v>
      </c>
    </row>
    <row r="5" spans="1:24" ht="16" thickBot="1" x14ac:dyDescent="0.25">
      <c r="A5">
        <v>3</v>
      </c>
      <c r="B5">
        <v>0.35</v>
      </c>
      <c r="C5">
        <v>0.16</v>
      </c>
      <c r="D5">
        <v>0.22</v>
      </c>
      <c r="E5">
        <v>0.15</v>
      </c>
      <c r="F5">
        <v>0.15</v>
      </c>
      <c r="G5">
        <v>-3.0000000000000027E-2</v>
      </c>
      <c r="H5">
        <v>8.3000000000000004E-2</v>
      </c>
      <c r="I5">
        <v>0.06</v>
      </c>
      <c r="J5">
        <v>0.09</v>
      </c>
      <c r="K5">
        <v>0.06</v>
      </c>
      <c r="L5">
        <v>7.9000000000000001E-2</v>
      </c>
      <c r="M5">
        <v>0.04</v>
      </c>
      <c r="N5">
        <v>7.8099999999999989E-2</v>
      </c>
      <c r="P5" s="28" t="s">
        <v>16</v>
      </c>
      <c r="Q5" s="28"/>
      <c r="R5" s="28"/>
      <c r="T5" s="15" t="s">
        <v>21</v>
      </c>
      <c r="U5" s="15" t="s">
        <v>22</v>
      </c>
      <c r="V5" s="15" t="s">
        <v>23</v>
      </c>
    </row>
    <row r="6" spans="1:24" ht="16" thickTop="1" x14ac:dyDescent="0.2">
      <c r="A6">
        <v>4</v>
      </c>
      <c r="B6">
        <v>0.33</v>
      </c>
      <c r="C6">
        <v>0.17</v>
      </c>
      <c r="D6">
        <v>0.21</v>
      </c>
      <c r="E6">
        <v>0.13</v>
      </c>
      <c r="F6">
        <v>0.12</v>
      </c>
      <c r="G6">
        <v>4.0000000000000036E-2</v>
      </c>
      <c r="H6">
        <v>0.1</v>
      </c>
      <c r="I6">
        <v>0.06</v>
      </c>
      <c r="J6">
        <v>0.04</v>
      </c>
      <c r="K6">
        <v>0.03</v>
      </c>
      <c r="L6">
        <v>7.4999999999999997E-2</v>
      </c>
      <c r="M6">
        <v>0.02</v>
      </c>
      <c r="N6">
        <v>6.5299999999999997E-2</v>
      </c>
      <c r="P6" s="2" t="s">
        <v>13</v>
      </c>
      <c r="Q6" s="2" t="s">
        <v>14</v>
      </c>
      <c r="R6" s="2" t="s">
        <v>15</v>
      </c>
      <c r="T6" s="13" t="s">
        <v>2</v>
      </c>
      <c r="U6" s="14" t="s">
        <v>27</v>
      </c>
      <c r="V6" s="14" t="s">
        <v>31</v>
      </c>
    </row>
    <row r="7" spans="1:24" x14ac:dyDescent="0.2">
      <c r="A7">
        <v>5</v>
      </c>
      <c r="B7">
        <v>0.32</v>
      </c>
      <c r="C7">
        <v>0.18</v>
      </c>
      <c r="D7">
        <v>0.2</v>
      </c>
      <c r="E7">
        <v>0.1</v>
      </c>
      <c r="F7">
        <v>0.1</v>
      </c>
      <c r="G7">
        <v>0.10000000000000009</v>
      </c>
      <c r="H7">
        <v>7.9000000000000001E-2</v>
      </c>
      <c r="I7">
        <v>0.06</v>
      </c>
      <c r="J7">
        <v>0.05</v>
      </c>
      <c r="K7">
        <v>0.05</v>
      </c>
      <c r="L7">
        <v>5.8999999999999997E-2</v>
      </c>
      <c r="M7">
        <v>0.02</v>
      </c>
      <c r="N7">
        <v>5.8980000000000005E-2</v>
      </c>
      <c r="P7">
        <v>100</v>
      </c>
      <c r="Q7" s="2">
        <v>7.1889599999999998E-2</v>
      </c>
      <c r="R7" s="2">
        <v>7.8844981418917798E-3</v>
      </c>
      <c r="T7" s="9" t="s">
        <v>3</v>
      </c>
      <c r="U7" s="5" t="s">
        <v>28</v>
      </c>
      <c r="V7" s="5" t="s">
        <v>32</v>
      </c>
    </row>
    <row r="8" spans="1:24" x14ac:dyDescent="0.2">
      <c r="A8">
        <v>6</v>
      </c>
      <c r="B8">
        <v>0.33</v>
      </c>
      <c r="C8">
        <v>0.19</v>
      </c>
      <c r="D8">
        <v>0.2</v>
      </c>
      <c r="E8">
        <v>0.15</v>
      </c>
      <c r="F8">
        <v>0.12</v>
      </c>
      <c r="G8">
        <v>1.0000000000000009E-2</v>
      </c>
      <c r="H8">
        <v>7.9000000000000001E-2</v>
      </c>
      <c r="I8">
        <v>0.05</v>
      </c>
      <c r="J8">
        <v>0.04</v>
      </c>
      <c r="K8">
        <v>0.05</v>
      </c>
      <c r="L8">
        <v>0.10299999999999999</v>
      </c>
      <c r="M8">
        <v>0.02</v>
      </c>
      <c r="N8">
        <v>6.3630000000000006E-2</v>
      </c>
      <c r="P8">
        <v>200</v>
      </c>
      <c r="Q8" s="2">
        <v>7.2130949999999958E-2</v>
      </c>
      <c r="R8" s="2">
        <v>7.9779978595342863E-3</v>
      </c>
      <c r="T8" s="5" t="s">
        <v>24</v>
      </c>
      <c r="U8" s="5" t="s">
        <v>29</v>
      </c>
      <c r="V8" s="5" t="s">
        <v>33</v>
      </c>
    </row>
    <row r="9" spans="1:24" x14ac:dyDescent="0.2">
      <c r="A9">
        <v>7</v>
      </c>
      <c r="B9">
        <v>0.34</v>
      </c>
      <c r="C9">
        <v>0.19</v>
      </c>
      <c r="D9">
        <v>0.21</v>
      </c>
      <c r="E9">
        <v>0.13</v>
      </c>
      <c r="F9">
        <v>0.1</v>
      </c>
      <c r="G9">
        <v>3.0000000000000027E-2</v>
      </c>
      <c r="H9">
        <v>8.5000000000000006E-2</v>
      </c>
      <c r="I9">
        <v>7.0000000000000007E-2</v>
      </c>
      <c r="J9">
        <v>0.05</v>
      </c>
      <c r="K9">
        <v>0.04</v>
      </c>
      <c r="L9">
        <v>6.5000000000000002E-2</v>
      </c>
      <c r="M9">
        <v>0.04</v>
      </c>
      <c r="N9">
        <v>6.5600000000000019E-2</v>
      </c>
      <c r="Q9" s="2"/>
      <c r="R9" s="2"/>
      <c r="T9" s="5" t="s">
        <v>25</v>
      </c>
      <c r="U9" s="5" t="s">
        <v>30</v>
      </c>
      <c r="V9" s="5" t="s">
        <v>34</v>
      </c>
    </row>
    <row r="10" spans="1:24" x14ac:dyDescent="0.2">
      <c r="A10">
        <v>8</v>
      </c>
      <c r="B10">
        <v>0.33</v>
      </c>
      <c r="C10">
        <v>0.17</v>
      </c>
      <c r="D10">
        <v>0.25</v>
      </c>
      <c r="E10">
        <v>0.11</v>
      </c>
      <c r="F10">
        <v>0.1</v>
      </c>
      <c r="G10">
        <v>4.0000000000000036E-2</v>
      </c>
      <c r="H10">
        <v>0.122</v>
      </c>
      <c r="I10">
        <v>7.0000000000000007E-2</v>
      </c>
      <c r="J10">
        <v>0.09</v>
      </c>
      <c r="K10">
        <v>0.06</v>
      </c>
      <c r="L10">
        <v>8.4000000000000005E-2</v>
      </c>
      <c r="M10">
        <v>0.02</v>
      </c>
      <c r="N10">
        <v>9.0459999999999999E-2</v>
      </c>
      <c r="Q10" s="2"/>
      <c r="R10" s="2"/>
      <c r="T10" s="5" t="s">
        <v>6</v>
      </c>
      <c r="U10" s="5" t="s">
        <v>30</v>
      </c>
      <c r="V10" s="5" t="s">
        <v>35</v>
      </c>
    </row>
    <row r="11" spans="1:24" x14ac:dyDescent="0.2">
      <c r="A11">
        <v>9</v>
      </c>
      <c r="B11">
        <v>0.34</v>
      </c>
      <c r="C11">
        <v>0.2</v>
      </c>
      <c r="D11">
        <v>0.2</v>
      </c>
      <c r="E11">
        <v>0.15</v>
      </c>
      <c r="F11">
        <v>0.15</v>
      </c>
      <c r="G11">
        <v>-4.0000000000000036E-2</v>
      </c>
      <c r="H11">
        <v>7.1999999999999995E-2</v>
      </c>
      <c r="I11">
        <v>0.06</v>
      </c>
      <c r="J11">
        <v>0.08</v>
      </c>
      <c r="K11">
        <v>0.02</v>
      </c>
      <c r="L11">
        <v>7.2999999999999995E-2</v>
      </c>
      <c r="M11">
        <v>0.03</v>
      </c>
      <c r="N11">
        <v>6.5229999999999996E-2</v>
      </c>
      <c r="Q11" s="2"/>
      <c r="R11" s="2"/>
      <c r="T11" s="5" t="s">
        <v>7</v>
      </c>
      <c r="U11" s="5" t="s">
        <v>26</v>
      </c>
      <c r="V11" s="5" t="s">
        <v>36</v>
      </c>
    </row>
    <row r="12" spans="1:24" x14ac:dyDescent="0.2">
      <c r="A12">
        <v>10</v>
      </c>
      <c r="B12">
        <v>0.3</v>
      </c>
      <c r="C12">
        <v>0.17</v>
      </c>
      <c r="D12">
        <v>0.22</v>
      </c>
      <c r="E12">
        <v>0.12</v>
      </c>
      <c r="F12">
        <v>0.1</v>
      </c>
      <c r="G12">
        <v>9.000000000000008E-2</v>
      </c>
      <c r="H12">
        <v>7.6999999999999999E-2</v>
      </c>
      <c r="I12">
        <v>0.05</v>
      </c>
      <c r="J12">
        <v>0.08</v>
      </c>
      <c r="K12">
        <v>0.04</v>
      </c>
      <c r="L12">
        <v>9.5000000000000001E-2</v>
      </c>
      <c r="M12">
        <v>0.03</v>
      </c>
      <c r="N12">
        <v>6.6200000000000009E-2</v>
      </c>
      <c r="Q12" s="2"/>
      <c r="R12" s="2"/>
    </row>
    <row r="13" spans="1:24" x14ac:dyDescent="0.2">
      <c r="A13">
        <v>11</v>
      </c>
      <c r="B13">
        <v>0.33</v>
      </c>
      <c r="C13">
        <v>0.18</v>
      </c>
      <c r="D13">
        <v>0.22</v>
      </c>
      <c r="E13">
        <v>0.11</v>
      </c>
      <c r="F13">
        <v>0.1</v>
      </c>
      <c r="G13">
        <v>6.0000000000000053E-2</v>
      </c>
      <c r="H13">
        <v>7.8E-2</v>
      </c>
      <c r="I13">
        <v>0.03</v>
      </c>
      <c r="J13">
        <v>0.09</v>
      </c>
      <c r="K13">
        <v>0.06</v>
      </c>
      <c r="L13">
        <v>0.09</v>
      </c>
      <c r="M13">
        <v>0.03</v>
      </c>
      <c r="N13">
        <v>6.8339999999999998E-2</v>
      </c>
      <c r="Q13" s="2"/>
      <c r="R13" s="2"/>
    </row>
    <row r="14" spans="1:24" x14ac:dyDescent="0.2">
      <c r="A14">
        <v>12</v>
      </c>
      <c r="B14">
        <v>0.35</v>
      </c>
      <c r="C14">
        <v>0.2</v>
      </c>
      <c r="D14">
        <v>0.25</v>
      </c>
      <c r="E14">
        <v>0.11</v>
      </c>
      <c r="F14">
        <v>0.12</v>
      </c>
      <c r="G14">
        <v>-3.0000000000000027E-2</v>
      </c>
      <c r="H14">
        <v>6.5000000000000002E-2</v>
      </c>
      <c r="I14">
        <v>0.05</v>
      </c>
      <c r="J14">
        <v>0.06</v>
      </c>
      <c r="K14">
        <v>0.04</v>
      </c>
      <c r="L14">
        <v>0.10299999999999999</v>
      </c>
      <c r="M14">
        <v>0.04</v>
      </c>
      <c r="N14">
        <v>6.3309999999999991E-2</v>
      </c>
      <c r="Q14" s="2"/>
      <c r="R14" s="2"/>
    </row>
    <row r="15" spans="1:24" x14ac:dyDescent="0.2">
      <c r="A15">
        <v>13</v>
      </c>
      <c r="B15">
        <v>0.3</v>
      </c>
      <c r="C15">
        <v>0.16</v>
      </c>
      <c r="D15">
        <v>0.24</v>
      </c>
      <c r="E15">
        <v>0.14000000000000001</v>
      </c>
      <c r="F15">
        <v>0.14000000000000001</v>
      </c>
      <c r="G15">
        <v>2.0000000000000018E-2</v>
      </c>
      <c r="H15">
        <v>7.0999999999999994E-2</v>
      </c>
      <c r="I15">
        <v>0.03</v>
      </c>
      <c r="J15">
        <v>0.05</v>
      </c>
      <c r="K15">
        <v>0.03</v>
      </c>
      <c r="L15">
        <v>9.9000000000000005E-2</v>
      </c>
      <c r="M15">
        <v>0.04</v>
      </c>
      <c r="N15">
        <v>5.6960000000000004E-2</v>
      </c>
      <c r="Q15" s="2"/>
      <c r="R15" s="2"/>
    </row>
    <row r="16" spans="1:24" x14ac:dyDescent="0.2">
      <c r="A16">
        <v>14</v>
      </c>
      <c r="B16">
        <v>0.3</v>
      </c>
      <c r="C16">
        <v>0.15</v>
      </c>
      <c r="D16">
        <v>0.22</v>
      </c>
      <c r="E16">
        <v>0.11</v>
      </c>
      <c r="F16">
        <v>0.14000000000000001</v>
      </c>
      <c r="G16">
        <v>8.0000000000000071E-2</v>
      </c>
      <c r="H16">
        <v>0.10299999999999999</v>
      </c>
      <c r="I16">
        <v>0.03</v>
      </c>
      <c r="J16">
        <v>0.1</v>
      </c>
      <c r="K16">
        <v>0.05</v>
      </c>
      <c r="L16">
        <v>9.1999999999999998E-2</v>
      </c>
      <c r="M16">
        <v>0.02</v>
      </c>
      <c r="N16">
        <v>7.7380000000000004E-2</v>
      </c>
      <c r="Q16" s="2"/>
      <c r="R16" s="2"/>
    </row>
    <row r="17" spans="1:20" x14ac:dyDescent="0.2">
      <c r="A17">
        <v>15</v>
      </c>
      <c r="B17">
        <v>0.34</v>
      </c>
      <c r="C17">
        <v>0.17</v>
      </c>
      <c r="D17">
        <v>0.25</v>
      </c>
      <c r="E17">
        <v>0.11</v>
      </c>
      <c r="F17">
        <v>0.12</v>
      </c>
      <c r="G17">
        <v>1.0000000000000009E-2</v>
      </c>
      <c r="H17">
        <v>7.4999999999999997E-2</v>
      </c>
      <c r="I17">
        <v>7.0000000000000007E-2</v>
      </c>
      <c r="J17">
        <v>0.1</v>
      </c>
      <c r="K17">
        <v>0.02</v>
      </c>
      <c r="L17">
        <v>7.0000000000000007E-2</v>
      </c>
      <c r="M17">
        <v>0.02</v>
      </c>
      <c r="N17">
        <v>7.3200000000000015E-2</v>
      </c>
      <c r="Q17" s="2"/>
      <c r="R17" s="2"/>
    </row>
    <row r="18" spans="1:20" x14ac:dyDescent="0.2">
      <c r="A18">
        <v>16</v>
      </c>
      <c r="B18">
        <v>0.3</v>
      </c>
      <c r="C18">
        <v>0.18</v>
      </c>
      <c r="D18">
        <v>0.25</v>
      </c>
      <c r="E18">
        <v>0.1</v>
      </c>
      <c r="F18">
        <v>0.15</v>
      </c>
      <c r="G18">
        <v>2.0000000000000018E-2</v>
      </c>
      <c r="H18">
        <v>0.11799999999999999</v>
      </c>
      <c r="I18">
        <v>7.0000000000000007E-2</v>
      </c>
      <c r="J18">
        <v>0.04</v>
      </c>
      <c r="K18">
        <v>0.02</v>
      </c>
      <c r="L18">
        <v>8.6999999999999994E-2</v>
      </c>
      <c r="M18">
        <v>0.03</v>
      </c>
      <c r="N18">
        <v>7.3650000000000007E-2</v>
      </c>
      <c r="Q18" s="2"/>
      <c r="R18" s="2"/>
    </row>
    <row r="19" spans="1:20" x14ac:dyDescent="0.2">
      <c r="A19">
        <v>17</v>
      </c>
      <c r="B19">
        <v>0.3</v>
      </c>
      <c r="C19">
        <v>0.18</v>
      </c>
      <c r="D19">
        <v>0.24</v>
      </c>
      <c r="E19">
        <v>0.13</v>
      </c>
      <c r="F19">
        <v>0.13</v>
      </c>
      <c r="G19">
        <v>2.0000000000000018E-2</v>
      </c>
      <c r="H19">
        <v>7.5999999999999998E-2</v>
      </c>
      <c r="I19">
        <v>0.06</v>
      </c>
      <c r="J19">
        <v>0.08</v>
      </c>
      <c r="K19">
        <v>0.02</v>
      </c>
      <c r="L19">
        <v>0.1</v>
      </c>
      <c r="M19">
        <v>0.04</v>
      </c>
      <c r="N19">
        <v>6.9199999999999998E-2</v>
      </c>
      <c r="Q19" s="2"/>
      <c r="R19" s="2"/>
    </row>
    <row r="20" spans="1:20" x14ac:dyDescent="0.2">
      <c r="A20">
        <v>18</v>
      </c>
      <c r="B20">
        <v>0.31</v>
      </c>
      <c r="C20">
        <v>0.18</v>
      </c>
      <c r="D20">
        <v>0.25</v>
      </c>
      <c r="E20">
        <v>0.15</v>
      </c>
      <c r="F20">
        <v>0.13</v>
      </c>
      <c r="G20">
        <v>-2.0000000000000018E-2</v>
      </c>
      <c r="H20">
        <v>0.124</v>
      </c>
      <c r="I20">
        <v>0.04</v>
      </c>
      <c r="J20">
        <v>0.04</v>
      </c>
      <c r="K20">
        <v>0.06</v>
      </c>
      <c r="L20">
        <v>0.08</v>
      </c>
      <c r="M20">
        <v>0.02</v>
      </c>
      <c r="N20">
        <v>7.4640000000000012E-2</v>
      </c>
      <c r="Q20" s="2"/>
      <c r="R20" s="2"/>
    </row>
    <row r="21" spans="1:20" x14ac:dyDescent="0.2">
      <c r="A21">
        <v>19</v>
      </c>
      <c r="B21">
        <v>0.32</v>
      </c>
      <c r="C21">
        <v>0.16</v>
      </c>
      <c r="D21">
        <v>0.22</v>
      </c>
      <c r="E21">
        <v>0.14000000000000001</v>
      </c>
      <c r="F21">
        <v>0.13</v>
      </c>
      <c r="G21">
        <v>3.0000000000000027E-2</v>
      </c>
      <c r="H21">
        <v>6.9000000000000006E-2</v>
      </c>
      <c r="I21">
        <v>7.0000000000000007E-2</v>
      </c>
      <c r="J21">
        <v>0.1</v>
      </c>
      <c r="K21">
        <v>0.02</v>
      </c>
      <c r="L21">
        <v>7.1999999999999995E-2</v>
      </c>
      <c r="M21">
        <v>0.03</v>
      </c>
      <c r="N21">
        <v>6.8339999999999998E-2</v>
      </c>
      <c r="T21" t="s">
        <v>42</v>
      </c>
    </row>
    <row r="22" spans="1:20" x14ac:dyDescent="0.2">
      <c r="A22">
        <v>20</v>
      </c>
      <c r="B22">
        <v>0.3</v>
      </c>
      <c r="C22">
        <v>0.17</v>
      </c>
      <c r="D22">
        <v>0.23</v>
      </c>
      <c r="E22">
        <v>0.12</v>
      </c>
      <c r="F22">
        <v>0.1</v>
      </c>
      <c r="G22">
        <v>8.0000000000000071E-2</v>
      </c>
      <c r="H22">
        <v>9.5000000000000001E-2</v>
      </c>
      <c r="I22">
        <v>0.05</v>
      </c>
      <c r="J22">
        <v>0.04</v>
      </c>
      <c r="K22">
        <v>0.05</v>
      </c>
      <c r="L22">
        <v>0.10199999999999999</v>
      </c>
      <c r="M22">
        <v>0.04</v>
      </c>
      <c r="N22">
        <v>6.5600000000000006E-2</v>
      </c>
      <c r="T22" t="s">
        <v>43</v>
      </c>
    </row>
    <row r="23" spans="1:20" x14ac:dyDescent="0.2">
      <c r="A23">
        <v>21</v>
      </c>
      <c r="B23">
        <v>0.35</v>
      </c>
      <c r="C23">
        <v>0.19</v>
      </c>
      <c r="D23">
        <v>0.22</v>
      </c>
      <c r="E23">
        <v>0.1</v>
      </c>
      <c r="F23">
        <v>0.1</v>
      </c>
      <c r="G23">
        <v>4.0000000000000036E-2</v>
      </c>
      <c r="H23">
        <v>9.1999999999999998E-2</v>
      </c>
      <c r="I23">
        <v>0.04</v>
      </c>
      <c r="J23">
        <v>0.04</v>
      </c>
      <c r="K23">
        <v>0.06</v>
      </c>
      <c r="L23">
        <v>7.3999999999999996E-2</v>
      </c>
      <c r="M23">
        <v>0.02</v>
      </c>
      <c r="N23">
        <v>6.2799999999999995E-2</v>
      </c>
    </row>
    <row r="24" spans="1:20" x14ac:dyDescent="0.2">
      <c r="A24">
        <v>22</v>
      </c>
      <c r="B24">
        <v>0.35</v>
      </c>
      <c r="C24">
        <v>0.17</v>
      </c>
      <c r="D24">
        <v>0.24</v>
      </c>
      <c r="E24">
        <v>0.1</v>
      </c>
      <c r="F24">
        <v>0.15</v>
      </c>
      <c r="G24">
        <v>-1.0000000000000009E-2</v>
      </c>
      <c r="H24">
        <v>0.106</v>
      </c>
      <c r="I24">
        <v>0.06</v>
      </c>
      <c r="J24">
        <v>0.05</v>
      </c>
      <c r="K24">
        <v>0.05</v>
      </c>
      <c r="L24">
        <v>8.3000000000000004E-2</v>
      </c>
      <c r="M24">
        <v>0.04</v>
      </c>
      <c r="N24">
        <v>7.6350000000000001E-2</v>
      </c>
    </row>
    <row r="25" spans="1:20" x14ac:dyDescent="0.2">
      <c r="A25">
        <v>23</v>
      </c>
      <c r="B25">
        <v>0.3</v>
      </c>
      <c r="C25">
        <v>0.15</v>
      </c>
      <c r="D25">
        <v>0.25</v>
      </c>
      <c r="E25">
        <v>0.15</v>
      </c>
      <c r="F25">
        <v>0.14000000000000001</v>
      </c>
      <c r="G25">
        <v>1.0000000000000009E-2</v>
      </c>
      <c r="H25">
        <v>7.0000000000000007E-2</v>
      </c>
      <c r="I25">
        <v>0.05</v>
      </c>
      <c r="J25">
        <v>0.04</v>
      </c>
      <c r="K25">
        <v>0.06</v>
      </c>
      <c r="L25">
        <v>6.3E-2</v>
      </c>
      <c r="M25">
        <v>0.04</v>
      </c>
      <c r="N25">
        <v>5.672E-2</v>
      </c>
    </row>
    <row r="26" spans="1:20" x14ac:dyDescent="0.2">
      <c r="A26">
        <v>24</v>
      </c>
      <c r="B26">
        <v>0.35</v>
      </c>
      <c r="C26">
        <v>0.16</v>
      </c>
      <c r="D26">
        <v>0.2</v>
      </c>
      <c r="E26">
        <v>0.15</v>
      </c>
      <c r="F26">
        <v>0.1</v>
      </c>
      <c r="G26">
        <v>4.0000000000000036E-2</v>
      </c>
      <c r="H26">
        <v>6.7000000000000004E-2</v>
      </c>
      <c r="I26">
        <v>7.0000000000000007E-2</v>
      </c>
      <c r="J26">
        <v>0.04</v>
      </c>
      <c r="K26">
        <v>0.03</v>
      </c>
      <c r="L26">
        <v>7.8E-2</v>
      </c>
      <c r="M26">
        <v>0.03</v>
      </c>
      <c r="N26">
        <v>5.6149999999999999E-2</v>
      </c>
    </row>
    <row r="27" spans="1:20" x14ac:dyDescent="0.2">
      <c r="A27">
        <v>25</v>
      </c>
      <c r="B27">
        <v>0.35</v>
      </c>
      <c r="C27">
        <v>0.2</v>
      </c>
      <c r="D27">
        <v>0.24</v>
      </c>
      <c r="E27">
        <v>0.12</v>
      </c>
      <c r="F27">
        <v>0.11</v>
      </c>
      <c r="G27">
        <v>-2.0000000000000018E-2</v>
      </c>
      <c r="H27">
        <v>0.10199999999999999</v>
      </c>
      <c r="I27">
        <v>0.05</v>
      </c>
      <c r="J27">
        <v>0.08</v>
      </c>
      <c r="K27">
        <v>0.03</v>
      </c>
      <c r="L27">
        <v>7.0999999999999994E-2</v>
      </c>
      <c r="M27">
        <v>0.03</v>
      </c>
      <c r="N27">
        <v>7.571E-2</v>
      </c>
    </row>
    <row r="28" spans="1:20" x14ac:dyDescent="0.2">
      <c r="A28">
        <v>26</v>
      </c>
      <c r="B28">
        <v>0.34</v>
      </c>
      <c r="C28">
        <v>0.2</v>
      </c>
      <c r="D28">
        <v>0.22</v>
      </c>
      <c r="E28">
        <v>0.12</v>
      </c>
      <c r="F28">
        <v>0.1</v>
      </c>
      <c r="G28">
        <v>2.0000000000000018E-2</v>
      </c>
      <c r="H28">
        <v>0.106</v>
      </c>
      <c r="I28">
        <v>0.05</v>
      </c>
      <c r="J28">
        <v>0.05</v>
      </c>
      <c r="K28">
        <v>0.06</v>
      </c>
      <c r="L28">
        <v>8.8999999999999996E-2</v>
      </c>
      <c r="M28">
        <v>0.02</v>
      </c>
      <c r="N28">
        <v>7.3540000000000008E-2</v>
      </c>
    </row>
    <row r="29" spans="1:20" x14ac:dyDescent="0.2">
      <c r="A29">
        <v>27</v>
      </c>
      <c r="B29">
        <v>0.31</v>
      </c>
      <c r="C29">
        <v>0.17</v>
      </c>
      <c r="D29">
        <v>0.24</v>
      </c>
      <c r="E29">
        <v>0.14000000000000001</v>
      </c>
      <c r="F29">
        <v>0.11</v>
      </c>
      <c r="G29">
        <v>3.0000000000000027E-2</v>
      </c>
      <c r="H29">
        <v>0.112</v>
      </c>
      <c r="I29">
        <v>0.04</v>
      </c>
      <c r="J29">
        <v>0.04</v>
      </c>
      <c r="K29">
        <v>0.05</v>
      </c>
      <c r="L29">
        <v>9.4E-2</v>
      </c>
      <c r="M29">
        <v>0.02</v>
      </c>
      <c r="N29">
        <v>6.9059999999999996E-2</v>
      </c>
    </row>
    <row r="30" spans="1:20" x14ac:dyDescent="0.2">
      <c r="A30">
        <v>28</v>
      </c>
      <c r="B30">
        <v>0.33</v>
      </c>
      <c r="C30">
        <v>0.16</v>
      </c>
      <c r="D30">
        <v>0.25</v>
      </c>
      <c r="E30">
        <v>0.15</v>
      </c>
      <c r="F30">
        <v>0.1</v>
      </c>
      <c r="G30">
        <v>1.0000000000000009E-2</v>
      </c>
      <c r="H30">
        <v>9.8000000000000004E-2</v>
      </c>
      <c r="I30">
        <v>7.0000000000000007E-2</v>
      </c>
      <c r="J30">
        <v>0.08</v>
      </c>
      <c r="K30">
        <v>0.03</v>
      </c>
      <c r="L30">
        <v>0.10199999999999999</v>
      </c>
      <c r="M30">
        <v>0.03</v>
      </c>
      <c r="N30">
        <v>7.8539999999999999E-2</v>
      </c>
    </row>
    <row r="31" spans="1:20" x14ac:dyDescent="0.2">
      <c r="A31">
        <v>29</v>
      </c>
      <c r="B31">
        <v>0.34</v>
      </c>
      <c r="C31">
        <v>0.18</v>
      </c>
      <c r="D31">
        <v>0.23</v>
      </c>
      <c r="E31">
        <v>0.15</v>
      </c>
      <c r="F31">
        <v>0.13</v>
      </c>
      <c r="G31">
        <v>-3.0000000000000027E-2</v>
      </c>
      <c r="H31">
        <v>0.123</v>
      </c>
      <c r="I31">
        <v>0.06</v>
      </c>
      <c r="J31">
        <v>0.08</v>
      </c>
      <c r="K31">
        <v>0.05</v>
      </c>
      <c r="L31">
        <v>9.7000000000000003E-2</v>
      </c>
      <c r="M31">
        <v>0.02</v>
      </c>
      <c r="N31">
        <v>9.0529999999999999E-2</v>
      </c>
    </row>
    <row r="32" spans="1:20" x14ac:dyDescent="0.2">
      <c r="A32">
        <v>30</v>
      </c>
      <c r="B32">
        <v>0.3</v>
      </c>
      <c r="C32">
        <v>0.16</v>
      </c>
      <c r="D32">
        <v>0.23</v>
      </c>
      <c r="E32">
        <v>0.11</v>
      </c>
      <c r="F32">
        <v>0.1</v>
      </c>
      <c r="G32">
        <v>0.10000000000000009</v>
      </c>
      <c r="H32">
        <v>6.5000000000000002E-2</v>
      </c>
      <c r="I32">
        <v>7.0000000000000007E-2</v>
      </c>
      <c r="J32">
        <v>0.08</v>
      </c>
      <c r="K32">
        <v>0.03</v>
      </c>
      <c r="L32">
        <v>7.0999999999999994E-2</v>
      </c>
      <c r="M32">
        <v>0.02</v>
      </c>
      <c r="N32">
        <v>6.1500000000000006E-2</v>
      </c>
    </row>
    <row r="33" spans="1:14" x14ac:dyDescent="0.2">
      <c r="A33">
        <v>31</v>
      </c>
      <c r="B33">
        <v>0.31</v>
      </c>
      <c r="C33">
        <v>0.19</v>
      </c>
      <c r="D33">
        <v>0.25</v>
      </c>
      <c r="E33">
        <v>0.1</v>
      </c>
      <c r="F33">
        <v>0.13</v>
      </c>
      <c r="G33">
        <v>2.0000000000000018E-2</v>
      </c>
      <c r="H33">
        <v>9.6000000000000002E-2</v>
      </c>
      <c r="I33">
        <v>7.0000000000000007E-2</v>
      </c>
      <c r="J33">
        <v>0.1</v>
      </c>
      <c r="K33">
        <v>0.05</v>
      </c>
      <c r="L33">
        <v>9.8000000000000004E-2</v>
      </c>
      <c r="M33">
        <v>0.02</v>
      </c>
      <c r="N33">
        <v>8.6200000000000013E-2</v>
      </c>
    </row>
    <row r="34" spans="1:14" x14ac:dyDescent="0.2">
      <c r="A34">
        <v>32</v>
      </c>
      <c r="B34">
        <v>0.34</v>
      </c>
      <c r="C34">
        <v>0.16</v>
      </c>
      <c r="D34">
        <v>0.2</v>
      </c>
      <c r="E34">
        <v>0.15</v>
      </c>
      <c r="F34">
        <v>0.11</v>
      </c>
      <c r="G34">
        <v>4.0000000000000036E-2</v>
      </c>
      <c r="H34">
        <v>0.114</v>
      </c>
      <c r="I34">
        <v>0.04</v>
      </c>
      <c r="J34">
        <v>0.1</v>
      </c>
      <c r="K34">
        <v>0.02</v>
      </c>
      <c r="L34">
        <v>7.8E-2</v>
      </c>
      <c r="M34">
        <v>0.04</v>
      </c>
      <c r="N34">
        <v>7.8340000000000021E-2</v>
      </c>
    </row>
    <row r="35" spans="1:14" x14ac:dyDescent="0.2">
      <c r="A35">
        <v>33</v>
      </c>
      <c r="B35">
        <v>0.34</v>
      </c>
      <c r="C35">
        <v>0.18</v>
      </c>
      <c r="D35">
        <v>0.2</v>
      </c>
      <c r="E35">
        <v>0.15</v>
      </c>
      <c r="F35">
        <v>0.13</v>
      </c>
      <c r="G35">
        <v>0</v>
      </c>
      <c r="H35">
        <v>8.1000000000000003E-2</v>
      </c>
      <c r="I35">
        <v>0.05</v>
      </c>
      <c r="J35">
        <v>7.0000000000000007E-2</v>
      </c>
      <c r="K35">
        <v>0.04</v>
      </c>
      <c r="L35">
        <v>9.4E-2</v>
      </c>
      <c r="M35">
        <v>0.03</v>
      </c>
      <c r="N35">
        <v>6.8760000000000002E-2</v>
      </c>
    </row>
    <row r="36" spans="1:14" x14ac:dyDescent="0.2">
      <c r="A36">
        <v>34</v>
      </c>
      <c r="B36">
        <v>0.33</v>
      </c>
      <c r="C36">
        <v>0.19</v>
      </c>
      <c r="D36">
        <v>0.23</v>
      </c>
      <c r="E36">
        <v>0.15</v>
      </c>
      <c r="F36">
        <v>0.14000000000000001</v>
      </c>
      <c r="G36">
        <v>-4.0000000000000036E-2</v>
      </c>
      <c r="H36">
        <v>9.2999999999999999E-2</v>
      </c>
      <c r="I36">
        <v>0.03</v>
      </c>
      <c r="J36">
        <v>0.06</v>
      </c>
      <c r="K36">
        <v>0.05</v>
      </c>
      <c r="L36">
        <v>7.2999999999999995E-2</v>
      </c>
      <c r="M36">
        <v>0.02</v>
      </c>
      <c r="N36">
        <v>6.7110000000000003E-2</v>
      </c>
    </row>
    <row r="37" spans="1:14" x14ac:dyDescent="0.2">
      <c r="A37">
        <v>35</v>
      </c>
      <c r="B37">
        <v>0.32</v>
      </c>
      <c r="C37">
        <v>0.16</v>
      </c>
      <c r="D37">
        <v>0.22</v>
      </c>
      <c r="E37">
        <v>0.1</v>
      </c>
      <c r="F37">
        <v>0.11</v>
      </c>
      <c r="G37">
        <v>9.000000000000008E-2</v>
      </c>
      <c r="H37">
        <v>0.125</v>
      </c>
      <c r="I37">
        <v>0.05</v>
      </c>
      <c r="J37">
        <v>0.04</v>
      </c>
      <c r="K37">
        <v>0.03</v>
      </c>
      <c r="L37">
        <v>6.9000000000000006E-2</v>
      </c>
      <c r="M37">
        <v>0.02</v>
      </c>
      <c r="N37">
        <v>6.9190000000000002E-2</v>
      </c>
    </row>
    <row r="38" spans="1:14" x14ac:dyDescent="0.2">
      <c r="A38">
        <v>36</v>
      </c>
      <c r="B38">
        <v>0.3</v>
      </c>
      <c r="C38">
        <v>0.16</v>
      </c>
      <c r="D38">
        <v>0.25</v>
      </c>
      <c r="E38">
        <v>0.12</v>
      </c>
      <c r="F38">
        <v>0.15</v>
      </c>
      <c r="G38">
        <v>2.0000000000000018E-2</v>
      </c>
      <c r="H38">
        <v>0.124</v>
      </c>
      <c r="I38">
        <v>0.03</v>
      </c>
      <c r="J38">
        <v>0.04</v>
      </c>
      <c r="K38">
        <v>0.05</v>
      </c>
      <c r="L38">
        <v>8.5000000000000006E-2</v>
      </c>
      <c r="M38">
        <v>0.03</v>
      </c>
      <c r="N38">
        <v>7.1349999999999997E-2</v>
      </c>
    </row>
    <row r="39" spans="1:14" x14ac:dyDescent="0.2">
      <c r="A39">
        <v>37</v>
      </c>
      <c r="B39">
        <v>0.35</v>
      </c>
      <c r="C39">
        <v>0.15</v>
      </c>
      <c r="D39">
        <v>0.25</v>
      </c>
      <c r="E39">
        <v>0.11</v>
      </c>
      <c r="F39">
        <v>0.13</v>
      </c>
      <c r="G39">
        <v>1.0000000000000009E-2</v>
      </c>
      <c r="H39">
        <v>0.108</v>
      </c>
      <c r="I39">
        <v>7.0000000000000007E-2</v>
      </c>
      <c r="J39">
        <v>0.09</v>
      </c>
      <c r="K39">
        <v>0.06</v>
      </c>
      <c r="L39">
        <v>0.104</v>
      </c>
      <c r="M39">
        <v>0.03</v>
      </c>
      <c r="N39">
        <v>9.1219999999999996E-2</v>
      </c>
    </row>
    <row r="40" spans="1:14" x14ac:dyDescent="0.2">
      <c r="A40">
        <v>38</v>
      </c>
      <c r="B40">
        <v>0.31</v>
      </c>
      <c r="C40">
        <v>0.18</v>
      </c>
      <c r="D40">
        <v>0.21</v>
      </c>
      <c r="E40">
        <v>0.12</v>
      </c>
      <c r="F40">
        <v>0.15</v>
      </c>
      <c r="G40">
        <v>3.0000000000000027E-2</v>
      </c>
      <c r="H40">
        <v>9.4E-2</v>
      </c>
      <c r="I40">
        <v>0.06</v>
      </c>
      <c r="J40">
        <v>0.1</v>
      </c>
      <c r="K40">
        <v>0.02</v>
      </c>
      <c r="L40">
        <v>6.8000000000000005E-2</v>
      </c>
      <c r="M40">
        <v>0.04</v>
      </c>
      <c r="N40">
        <v>7.4740000000000001E-2</v>
      </c>
    </row>
    <row r="41" spans="1:14" x14ac:dyDescent="0.2">
      <c r="A41">
        <v>39</v>
      </c>
      <c r="B41">
        <v>0.3</v>
      </c>
      <c r="C41">
        <v>0.2</v>
      </c>
      <c r="D41">
        <v>0.22</v>
      </c>
      <c r="E41">
        <v>0.11</v>
      </c>
      <c r="F41">
        <v>0.11</v>
      </c>
      <c r="G41">
        <v>6.0000000000000053E-2</v>
      </c>
      <c r="H41">
        <v>0.111</v>
      </c>
      <c r="I41">
        <v>7.0000000000000007E-2</v>
      </c>
      <c r="J41">
        <v>0.09</v>
      </c>
      <c r="K41">
        <v>0.03</v>
      </c>
      <c r="L41">
        <v>8.7999999999999995E-2</v>
      </c>
      <c r="M41">
        <v>0.02</v>
      </c>
      <c r="N41">
        <v>8.1279999999999991E-2</v>
      </c>
    </row>
    <row r="42" spans="1:14" x14ac:dyDescent="0.2">
      <c r="A42">
        <v>40</v>
      </c>
      <c r="B42">
        <v>0.34</v>
      </c>
      <c r="C42">
        <v>0.18</v>
      </c>
      <c r="D42">
        <v>0.2</v>
      </c>
      <c r="E42">
        <v>0.12</v>
      </c>
      <c r="F42">
        <v>0.11</v>
      </c>
      <c r="G42">
        <v>5.0000000000000044E-2</v>
      </c>
      <c r="H42">
        <v>7.3999999999999996E-2</v>
      </c>
      <c r="I42">
        <v>0.03</v>
      </c>
      <c r="J42">
        <v>0.08</v>
      </c>
      <c r="K42">
        <v>0.03</v>
      </c>
      <c r="L42">
        <v>8.5999999999999993E-2</v>
      </c>
      <c r="M42">
        <v>0.03</v>
      </c>
      <c r="N42">
        <v>6.1120000000000008E-2</v>
      </c>
    </row>
    <row r="43" spans="1:14" x14ac:dyDescent="0.2">
      <c r="A43">
        <v>41</v>
      </c>
      <c r="B43">
        <v>0.32</v>
      </c>
      <c r="C43">
        <v>0.16</v>
      </c>
      <c r="D43">
        <v>0.22</v>
      </c>
      <c r="E43">
        <v>0.11</v>
      </c>
      <c r="F43">
        <v>0.12</v>
      </c>
      <c r="G43">
        <v>7.0000000000000062E-2</v>
      </c>
      <c r="H43">
        <v>0.09</v>
      </c>
      <c r="I43">
        <v>0.06</v>
      </c>
      <c r="J43">
        <v>0.08</v>
      </c>
      <c r="K43">
        <v>0.04</v>
      </c>
      <c r="L43">
        <v>0.10100000000000001</v>
      </c>
      <c r="M43">
        <v>0.04</v>
      </c>
      <c r="N43">
        <v>7.5319999999999998E-2</v>
      </c>
    </row>
    <row r="44" spans="1:14" x14ac:dyDescent="0.2">
      <c r="A44">
        <v>42</v>
      </c>
      <c r="B44">
        <v>0.34</v>
      </c>
      <c r="C44">
        <v>0.16</v>
      </c>
      <c r="D44">
        <v>0.2</v>
      </c>
      <c r="E44">
        <v>0.11</v>
      </c>
      <c r="F44">
        <v>0.11</v>
      </c>
      <c r="G44">
        <v>8.0000000000000071E-2</v>
      </c>
      <c r="H44">
        <v>7.5999999999999998E-2</v>
      </c>
      <c r="I44">
        <v>0.06</v>
      </c>
      <c r="J44">
        <v>0.09</v>
      </c>
      <c r="K44">
        <v>0.04</v>
      </c>
      <c r="L44">
        <v>9.8000000000000004E-2</v>
      </c>
      <c r="M44">
        <v>0.03</v>
      </c>
      <c r="N44">
        <v>7.102E-2</v>
      </c>
    </row>
    <row r="45" spans="1:14" x14ac:dyDescent="0.2">
      <c r="A45">
        <v>43</v>
      </c>
      <c r="B45">
        <v>0.3</v>
      </c>
      <c r="C45">
        <v>0.16</v>
      </c>
      <c r="D45">
        <v>0.21</v>
      </c>
      <c r="E45">
        <v>0.11</v>
      </c>
      <c r="F45">
        <v>0.12</v>
      </c>
      <c r="G45">
        <v>0.10000000000000009</v>
      </c>
      <c r="H45">
        <v>0.12</v>
      </c>
      <c r="I45">
        <v>0.03</v>
      </c>
      <c r="J45">
        <v>0.08</v>
      </c>
      <c r="K45">
        <v>0.02</v>
      </c>
      <c r="L45">
        <v>9.7000000000000003E-2</v>
      </c>
      <c r="M45">
        <v>0.02</v>
      </c>
      <c r="N45">
        <v>7.3440000000000005E-2</v>
      </c>
    </row>
    <row r="46" spans="1:14" x14ac:dyDescent="0.2">
      <c r="A46">
        <v>44</v>
      </c>
      <c r="B46">
        <v>0.35</v>
      </c>
      <c r="C46">
        <v>0.2</v>
      </c>
      <c r="D46">
        <v>0.24</v>
      </c>
      <c r="E46">
        <v>0.14000000000000001</v>
      </c>
      <c r="F46">
        <v>0.14000000000000001</v>
      </c>
      <c r="G46">
        <v>-7.0000000000000062E-2</v>
      </c>
      <c r="H46">
        <v>0.10100000000000001</v>
      </c>
      <c r="I46">
        <v>0.06</v>
      </c>
      <c r="J46">
        <v>0.1</v>
      </c>
      <c r="K46">
        <v>0.03</v>
      </c>
      <c r="L46">
        <v>0.104</v>
      </c>
      <c r="M46">
        <v>0.03</v>
      </c>
      <c r="N46">
        <v>8.8009999999999991E-2</v>
      </c>
    </row>
    <row r="47" spans="1:14" x14ac:dyDescent="0.2">
      <c r="A47">
        <v>45</v>
      </c>
      <c r="B47">
        <v>0.34</v>
      </c>
      <c r="C47">
        <v>0.18</v>
      </c>
      <c r="D47">
        <v>0.24</v>
      </c>
      <c r="E47">
        <v>0.12</v>
      </c>
      <c r="F47">
        <v>0.14000000000000001</v>
      </c>
      <c r="G47">
        <v>-2.0000000000000018E-2</v>
      </c>
      <c r="H47">
        <v>0.108</v>
      </c>
      <c r="I47">
        <v>0.06</v>
      </c>
      <c r="J47">
        <v>0.08</v>
      </c>
      <c r="K47">
        <v>0.04</v>
      </c>
      <c r="L47">
        <v>6.3E-2</v>
      </c>
      <c r="M47">
        <v>0.02</v>
      </c>
      <c r="N47">
        <v>7.9939999999999997E-2</v>
      </c>
    </row>
    <row r="48" spans="1:14" x14ac:dyDescent="0.2">
      <c r="A48">
        <v>46</v>
      </c>
      <c r="B48">
        <v>0.34</v>
      </c>
      <c r="C48">
        <v>0.19</v>
      </c>
      <c r="D48">
        <v>0.2</v>
      </c>
      <c r="E48">
        <v>0.11</v>
      </c>
      <c r="F48">
        <v>0.11</v>
      </c>
      <c r="G48">
        <v>5.0000000000000044E-2</v>
      </c>
      <c r="H48">
        <v>7.6999999999999999E-2</v>
      </c>
      <c r="I48">
        <v>0.04</v>
      </c>
      <c r="J48">
        <v>0.1</v>
      </c>
      <c r="K48">
        <v>0.02</v>
      </c>
      <c r="L48">
        <v>0.09</v>
      </c>
      <c r="M48">
        <v>0.03</v>
      </c>
      <c r="N48">
        <v>6.7380000000000009E-2</v>
      </c>
    </row>
    <row r="49" spans="1:14" x14ac:dyDescent="0.2">
      <c r="A49">
        <v>47</v>
      </c>
      <c r="B49">
        <v>0.33</v>
      </c>
      <c r="C49">
        <v>0.16</v>
      </c>
      <c r="D49">
        <v>0.24</v>
      </c>
      <c r="E49">
        <v>0.11</v>
      </c>
      <c r="F49">
        <v>0.11</v>
      </c>
      <c r="G49">
        <v>5.0000000000000044E-2</v>
      </c>
      <c r="H49">
        <v>9.7000000000000003E-2</v>
      </c>
      <c r="I49">
        <v>0.04</v>
      </c>
      <c r="J49">
        <v>0.08</v>
      </c>
      <c r="K49">
        <v>0.05</v>
      </c>
      <c r="L49">
        <v>8.6999999999999994E-2</v>
      </c>
      <c r="M49">
        <v>0.03</v>
      </c>
      <c r="N49">
        <v>7.418000000000001E-2</v>
      </c>
    </row>
    <row r="50" spans="1:14" x14ac:dyDescent="0.2">
      <c r="A50">
        <v>48</v>
      </c>
      <c r="B50">
        <v>0.34</v>
      </c>
      <c r="C50">
        <v>0.17</v>
      </c>
      <c r="D50">
        <v>0.24</v>
      </c>
      <c r="E50">
        <v>0.13</v>
      </c>
      <c r="F50">
        <v>0.12</v>
      </c>
      <c r="G50">
        <v>0</v>
      </c>
      <c r="H50">
        <v>0.10100000000000001</v>
      </c>
      <c r="I50">
        <v>0.04</v>
      </c>
      <c r="J50">
        <v>0.05</v>
      </c>
      <c r="K50">
        <v>0.04</v>
      </c>
      <c r="L50">
        <v>0.09</v>
      </c>
      <c r="M50">
        <v>0.04</v>
      </c>
      <c r="N50">
        <v>6.9140000000000007E-2</v>
      </c>
    </row>
    <row r="51" spans="1:14" x14ac:dyDescent="0.2">
      <c r="A51">
        <v>49</v>
      </c>
      <c r="B51">
        <v>0.32</v>
      </c>
      <c r="C51">
        <v>0.16</v>
      </c>
      <c r="D51">
        <v>0.25</v>
      </c>
      <c r="E51">
        <v>0.15</v>
      </c>
      <c r="F51">
        <v>0.1</v>
      </c>
      <c r="G51">
        <v>2.0000000000000018E-2</v>
      </c>
      <c r="H51">
        <v>0.112</v>
      </c>
      <c r="I51">
        <v>0.04</v>
      </c>
      <c r="J51">
        <v>0.08</v>
      </c>
      <c r="K51">
        <v>0.05</v>
      </c>
      <c r="L51">
        <v>0.10100000000000001</v>
      </c>
      <c r="M51">
        <v>0.03</v>
      </c>
      <c r="N51">
        <v>8.0439999999999998E-2</v>
      </c>
    </row>
    <row r="52" spans="1:14" x14ac:dyDescent="0.2">
      <c r="A52">
        <v>50</v>
      </c>
      <c r="B52">
        <v>0.35</v>
      </c>
      <c r="C52">
        <v>0.15</v>
      </c>
      <c r="D52">
        <v>0.24</v>
      </c>
      <c r="E52">
        <v>0.15</v>
      </c>
      <c r="F52">
        <v>0.12</v>
      </c>
      <c r="G52">
        <v>-1.0000000000000009E-2</v>
      </c>
      <c r="H52">
        <v>0.08</v>
      </c>
      <c r="I52">
        <v>0.04</v>
      </c>
      <c r="J52">
        <v>0.1</v>
      </c>
      <c r="K52">
        <v>0.02</v>
      </c>
      <c r="L52">
        <v>6.6000000000000003E-2</v>
      </c>
      <c r="M52">
        <v>0.02</v>
      </c>
      <c r="N52">
        <v>6.8719999999999989E-2</v>
      </c>
    </row>
    <row r="53" spans="1:14" x14ac:dyDescent="0.2">
      <c r="A53">
        <v>51</v>
      </c>
      <c r="B53">
        <v>0.3</v>
      </c>
      <c r="C53">
        <v>0.16</v>
      </c>
      <c r="D53">
        <v>0.21</v>
      </c>
      <c r="E53">
        <v>0.1</v>
      </c>
      <c r="F53">
        <v>0.11</v>
      </c>
      <c r="G53">
        <v>0.12000000000000011</v>
      </c>
      <c r="H53">
        <v>0.11</v>
      </c>
      <c r="I53">
        <v>0.05</v>
      </c>
      <c r="J53">
        <v>7.0000000000000007E-2</v>
      </c>
      <c r="K53">
        <v>0.04</v>
      </c>
      <c r="L53">
        <v>7.4999999999999997E-2</v>
      </c>
      <c r="M53">
        <v>0.04</v>
      </c>
      <c r="N53">
        <v>7.2750000000000009E-2</v>
      </c>
    </row>
    <row r="54" spans="1:14" x14ac:dyDescent="0.2">
      <c r="A54">
        <v>52</v>
      </c>
      <c r="B54">
        <v>0.34</v>
      </c>
      <c r="C54">
        <v>0.18</v>
      </c>
      <c r="D54">
        <v>0.2</v>
      </c>
      <c r="E54">
        <v>0.14000000000000001</v>
      </c>
      <c r="F54">
        <v>0.13</v>
      </c>
      <c r="G54">
        <v>1.0000000000000009E-2</v>
      </c>
      <c r="H54">
        <v>0.08</v>
      </c>
      <c r="I54">
        <v>0.05</v>
      </c>
      <c r="J54">
        <v>0.1</v>
      </c>
      <c r="K54">
        <v>0.03</v>
      </c>
      <c r="L54">
        <v>8.3000000000000004E-2</v>
      </c>
      <c r="M54">
        <v>0.03</v>
      </c>
      <c r="N54">
        <v>7.1489999999999998E-2</v>
      </c>
    </row>
    <row r="55" spans="1:14" x14ac:dyDescent="0.2">
      <c r="A55">
        <v>53</v>
      </c>
      <c r="B55">
        <v>0.35</v>
      </c>
      <c r="C55">
        <v>0.2</v>
      </c>
      <c r="D55">
        <v>0.25</v>
      </c>
      <c r="E55">
        <v>0.15</v>
      </c>
      <c r="F55">
        <v>0.11</v>
      </c>
      <c r="G55">
        <v>-6.0000000000000053E-2</v>
      </c>
      <c r="H55">
        <v>6.9000000000000006E-2</v>
      </c>
      <c r="I55">
        <v>0.05</v>
      </c>
      <c r="J55">
        <v>0.06</v>
      </c>
      <c r="K55">
        <v>0.05</v>
      </c>
      <c r="L55">
        <v>8.6999999999999994E-2</v>
      </c>
      <c r="M55">
        <v>0.02</v>
      </c>
      <c r="N55">
        <v>6.5019999999999994E-2</v>
      </c>
    </row>
    <row r="56" spans="1:14" x14ac:dyDescent="0.2">
      <c r="A56">
        <v>54</v>
      </c>
      <c r="B56">
        <v>0.3</v>
      </c>
      <c r="C56">
        <v>0.17</v>
      </c>
      <c r="D56">
        <v>0.24</v>
      </c>
      <c r="E56">
        <v>0.14000000000000001</v>
      </c>
      <c r="F56">
        <v>0.1</v>
      </c>
      <c r="G56">
        <v>5.0000000000000044E-2</v>
      </c>
      <c r="H56">
        <v>0.114</v>
      </c>
      <c r="I56">
        <v>0.03</v>
      </c>
      <c r="J56">
        <v>0.06</v>
      </c>
      <c r="K56">
        <v>0.02</v>
      </c>
      <c r="L56">
        <v>9.8000000000000004E-2</v>
      </c>
      <c r="M56">
        <v>0.03</v>
      </c>
      <c r="N56">
        <v>6.7799999999999999E-2</v>
      </c>
    </row>
    <row r="57" spans="1:14" x14ac:dyDescent="0.2">
      <c r="A57">
        <v>55</v>
      </c>
      <c r="B57">
        <v>0.31</v>
      </c>
      <c r="C57">
        <v>0.15</v>
      </c>
      <c r="D57">
        <v>0.22</v>
      </c>
      <c r="E57">
        <v>0.14000000000000001</v>
      </c>
      <c r="F57">
        <v>0.11</v>
      </c>
      <c r="G57">
        <v>7.0000000000000062E-2</v>
      </c>
      <c r="H57">
        <v>0.115</v>
      </c>
      <c r="I57">
        <v>0.04</v>
      </c>
      <c r="J57">
        <v>0.08</v>
      </c>
      <c r="K57">
        <v>0.02</v>
      </c>
      <c r="L57">
        <v>8.5999999999999993E-2</v>
      </c>
      <c r="M57">
        <v>0.02</v>
      </c>
      <c r="N57">
        <v>7.2909999999999989E-2</v>
      </c>
    </row>
    <row r="58" spans="1:14" x14ac:dyDescent="0.2">
      <c r="A58">
        <v>56</v>
      </c>
      <c r="B58">
        <v>0.33</v>
      </c>
      <c r="C58">
        <v>0.19</v>
      </c>
      <c r="D58">
        <v>0.22</v>
      </c>
      <c r="E58">
        <v>0.15</v>
      </c>
      <c r="F58">
        <v>0.12</v>
      </c>
      <c r="G58">
        <v>-1.0000000000000009E-2</v>
      </c>
      <c r="H58">
        <v>0.11899999999999999</v>
      </c>
      <c r="I58">
        <v>0.04</v>
      </c>
      <c r="J58">
        <v>0.08</v>
      </c>
      <c r="K58">
        <v>0.06</v>
      </c>
      <c r="L58">
        <v>8.1000000000000003E-2</v>
      </c>
      <c r="M58">
        <v>0.03</v>
      </c>
      <c r="N58">
        <v>8.2889999999999991E-2</v>
      </c>
    </row>
    <row r="59" spans="1:14" x14ac:dyDescent="0.2">
      <c r="A59">
        <v>57</v>
      </c>
      <c r="B59">
        <v>0.34</v>
      </c>
      <c r="C59">
        <v>0.18</v>
      </c>
      <c r="D59">
        <v>0.22</v>
      </c>
      <c r="E59">
        <v>0.15</v>
      </c>
      <c r="F59">
        <v>0.11</v>
      </c>
      <c r="G59">
        <v>0</v>
      </c>
      <c r="H59">
        <v>0.11600000000000001</v>
      </c>
      <c r="I59">
        <v>0.03</v>
      </c>
      <c r="J59">
        <v>0.05</v>
      </c>
      <c r="K59">
        <v>0.05</v>
      </c>
      <c r="L59">
        <v>8.8999999999999996E-2</v>
      </c>
      <c r="M59">
        <v>0.04</v>
      </c>
      <c r="N59">
        <v>7.3130000000000001E-2</v>
      </c>
    </row>
    <row r="60" spans="1:14" x14ac:dyDescent="0.2">
      <c r="A60">
        <v>58</v>
      </c>
      <c r="B60">
        <v>0.34</v>
      </c>
      <c r="C60">
        <v>0.19</v>
      </c>
      <c r="D60">
        <v>0.25</v>
      </c>
      <c r="E60">
        <v>0.13</v>
      </c>
      <c r="F60">
        <v>0.15</v>
      </c>
      <c r="G60">
        <v>-6.0000000000000053E-2</v>
      </c>
      <c r="H60">
        <v>0.11</v>
      </c>
      <c r="I60">
        <v>0.03</v>
      </c>
      <c r="J60">
        <v>0.09</v>
      </c>
      <c r="K60">
        <v>0.03</v>
      </c>
      <c r="L60">
        <v>5.8000000000000003E-2</v>
      </c>
      <c r="M60">
        <v>0.03</v>
      </c>
      <c r="N60">
        <v>7.6399999999999996E-2</v>
      </c>
    </row>
    <row r="61" spans="1:14" x14ac:dyDescent="0.2">
      <c r="A61">
        <v>59</v>
      </c>
      <c r="B61">
        <v>0.35</v>
      </c>
      <c r="C61">
        <v>0.17</v>
      </c>
      <c r="D61">
        <v>0.22</v>
      </c>
      <c r="E61">
        <v>0.13</v>
      </c>
      <c r="F61">
        <v>0.1</v>
      </c>
      <c r="G61">
        <v>3.0000000000000027E-2</v>
      </c>
      <c r="H61">
        <v>8.5999999999999993E-2</v>
      </c>
      <c r="I61">
        <v>0.05</v>
      </c>
      <c r="J61">
        <v>0.08</v>
      </c>
      <c r="K61">
        <v>0.06</v>
      </c>
      <c r="L61">
        <v>9.2999999999999999E-2</v>
      </c>
      <c r="M61">
        <v>0.02</v>
      </c>
      <c r="N61">
        <v>7.3900000000000007E-2</v>
      </c>
    </row>
    <row r="62" spans="1:14" x14ac:dyDescent="0.2">
      <c r="A62">
        <v>60</v>
      </c>
      <c r="B62">
        <v>0.34</v>
      </c>
      <c r="C62">
        <v>0.2</v>
      </c>
      <c r="D62">
        <v>0.23</v>
      </c>
      <c r="E62">
        <v>0.14000000000000001</v>
      </c>
      <c r="F62">
        <v>0.12</v>
      </c>
      <c r="G62">
        <v>-3.0000000000000027E-2</v>
      </c>
      <c r="H62">
        <v>7.0000000000000007E-2</v>
      </c>
      <c r="I62">
        <v>7.0000000000000007E-2</v>
      </c>
      <c r="J62">
        <v>0.05</v>
      </c>
      <c r="K62">
        <v>0.05</v>
      </c>
      <c r="L62">
        <v>6.2E-2</v>
      </c>
      <c r="M62">
        <v>0.02</v>
      </c>
      <c r="N62">
        <v>6.3140000000000002E-2</v>
      </c>
    </row>
    <row r="63" spans="1:14" x14ac:dyDescent="0.2">
      <c r="A63">
        <v>61</v>
      </c>
      <c r="B63">
        <v>0.33</v>
      </c>
      <c r="C63">
        <v>0.15</v>
      </c>
      <c r="D63">
        <v>0.25</v>
      </c>
      <c r="E63">
        <v>0.12</v>
      </c>
      <c r="F63">
        <v>0.1</v>
      </c>
      <c r="G63">
        <v>5.0000000000000044E-2</v>
      </c>
      <c r="H63">
        <v>9.8000000000000004E-2</v>
      </c>
      <c r="I63">
        <v>0.05</v>
      </c>
      <c r="J63">
        <v>0.04</v>
      </c>
      <c r="K63">
        <v>0.03</v>
      </c>
      <c r="L63">
        <v>7.5999999999999998E-2</v>
      </c>
      <c r="M63">
        <v>0.02</v>
      </c>
      <c r="N63">
        <v>6.2040000000000005E-2</v>
      </c>
    </row>
    <row r="64" spans="1:14" x14ac:dyDescent="0.2">
      <c r="A64">
        <v>62</v>
      </c>
      <c r="B64">
        <v>0.33</v>
      </c>
      <c r="C64">
        <v>0.18</v>
      </c>
      <c r="D64">
        <v>0.22</v>
      </c>
      <c r="E64">
        <v>0.12</v>
      </c>
      <c r="F64">
        <v>0.1</v>
      </c>
      <c r="G64">
        <v>5.0000000000000044E-2</v>
      </c>
      <c r="H64">
        <v>0.10199999999999999</v>
      </c>
      <c r="I64">
        <v>0.03</v>
      </c>
      <c r="J64">
        <v>0.09</v>
      </c>
      <c r="K64">
        <v>0.06</v>
      </c>
      <c r="L64">
        <v>7.9000000000000001E-2</v>
      </c>
      <c r="M64">
        <v>0.02</v>
      </c>
      <c r="N64">
        <v>7.4960000000000013E-2</v>
      </c>
    </row>
    <row r="65" spans="1:14" x14ac:dyDescent="0.2">
      <c r="A65">
        <v>63</v>
      </c>
      <c r="B65">
        <v>0.35</v>
      </c>
      <c r="C65">
        <v>0.18</v>
      </c>
      <c r="D65">
        <v>0.23</v>
      </c>
      <c r="E65">
        <v>0.12</v>
      </c>
      <c r="F65">
        <v>0.11</v>
      </c>
      <c r="G65">
        <v>1.0000000000000009E-2</v>
      </c>
      <c r="H65">
        <v>7.1999999999999995E-2</v>
      </c>
      <c r="I65">
        <v>7.0000000000000007E-2</v>
      </c>
      <c r="J65">
        <v>0.1</v>
      </c>
      <c r="K65">
        <v>0.05</v>
      </c>
      <c r="L65">
        <v>8.5000000000000006E-2</v>
      </c>
      <c r="M65">
        <v>0.02</v>
      </c>
      <c r="N65">
        <v>7.6350000000000015E-2</v>
      </c>
    </row>
    <row r="66" spans="1:14" x14ac:dyDescent="0.2">
      <c r="A66">
        <v>64</v>
      </c>
      <c r="B66">
        <v>0.3</v>
      </c>
      <c r="C66">
        <v>0.16</v>
      </c>
      <c r="D66">
        <v>0.24</v>
      </c>
      <c r="E66">
        <v>0.15</v>
      </c>
      <c r="F66">
        <v>0.15</v>
      </c>
      <c r="G66">
        <v>0</v>
      </c>
      <c r="H66">
        <v>0.09</v>
      </c>
      <c r="I66">
        <v>7.0000000000000007E-2</v>
      </c>
      <c r="J66">
        <v>0.1</v>
      </c>
      <c r="K66">
        <v>0.03</v>
      </c>
      <c r="L66">
        <v>6.6000000000000003E-2</v>
      </c>
      <c r="M66">
        <v>0.04</v>
      </c>
      <c r="N66">
        <v>7.6600000000000001E-2</v>
      </c>
    </row>
    <row r="67" spans="1:14" x14ac:dyDescent="0.2">
      <c r="A67">
        <v>65</v>
      </c>
      <c r="B67">
        <v>0.32</v>
      </c>
      <c r="C67">
        <v>0.16</v>
      </c>
      <c r="D67">
        <v>0.21</v>
      </c>
      <c r="E67">
        <v>0.1</v>
      </c>
      <c r="F67">
        <v>0.13</v>
      </c>
      <c r="G67">
        <v>8.0000000000000071E-2</v>
      </c>
      <c r="H67">
        <v>7.0000000000000007E-2</v>
      </c>
      <c r="I67">
        <v>7.0000000000000007E-2</v>
      </c>
      <c r="J67">
        <v>0.1</v>
      </c>
      <c r="K67">
        <v>0.05</v>
      </c>
      <c r="L67">
        <v>7.3999999999999996E-2</v>
      </c>
      <c r="M67">
        <v>0.02</v>
      </c>
      <c r="N67">
        <v>7.0820000000000022E-2</v>
      </c>
    </row>
    <row r="68" spans="1:14" x14ac:dyDescent="0.2">
      <c r="A68">
        <v>66</v>
      </c>
      <c r="B68">
        <v>0.34</v>
      </c>
      <c r="C68">
        <v>0.18</v>
      </c>
      <c r="D68">
        <v>0.22</v>
      </c>
      <c r="E68">
        <v>0.13</v>
      </c>
      <c r="F68">
        <v>0.1</v>
      </c>
      <c r="G68">
        <v>3.0000000000000027E-2</v>
      </c>
      <c r="H68">
        <v>0.106</v>
      </c>
      <c r="I68">
        <v>0.06</v>
      </c>
      <c r="J68">
        <v>0.06</v>
      </c>
      <c r="K68">
        <v>0.04</v>
      </c>
      <c r="L68">
        <v>9.9000000000000005E-2</v>
      </c>
      <c r="M68">
        <v>0.02</v>
      </c>
      <c r="N68">
        <v>7.5740000000000002E-2</v>
      </c>
    </row>
    <row r="69" spans="1:14" x14ac:dyDescent="0.2">
      <c r="A69">
        <v>67</v>
      </c>
      <c r="B69">
        <v>0.32</v>
      </c>
      <c r="C69">
        <v>0.18</v>
      </c>
      <c r="D69">
        <v>0.25</v>
      </c>
      <c r="E69">
        <v>0.11</v>
      </c>
      <c r="F69">
        <v>0.11</v>
      </c>
      <c r="G69">
        <v>3.0000000000000027E-2</v>
      </c>
      <c r="H69">
        <v>9.2999999999999999E-2</v>
      </c>
      <c r="I69">
        <v>7.0000000000000007E-2</v>
      </c>
      <c r="J69">
        <v>7.0000000000000007E-2</v>
      </c>
      <c r="K69">
        <v>0.02</v>
      </c>
      <c r="L69">
        <v>9.9000000000000005E-2</v>
      </c>
      <c r="M69">
        <v>0.03</v>
      </c>
      <c r="N69">
        <v>7.3849999999999999E-2</v>
      </c>
    </row>
    <row r="70" spans="1:14" x14ac:dyDescent="0.2">
      <c r="A70">
        <v>68</v>
      </c>
      <c r="B70">
        <v>0.34</v>
      </c>
      <c r="C70">
        <v>0.18</v>
      </c>
      <c r="D70">
        <v>0.25</v>
      </c>
      <c r="E70">
        <v>0.1</v>
      </c>
      <c r="F70">
        <v>0.13</v>
      </c>
      <c r="G70">
        <v>0</v>
      </c>
      <c r="H70">
        <v>8.7999999999999995E-2</v>
      </c>
      <c r="I70">
        <v>0.05</v>
      </c>
      <c r="J70">
        <v>0.1</v>
      </c>
      <c r="K70">
        <v>0.03</v>
      </c>
      <c r="L70">
        <v>8.3000000000000004E-2</v>
      </c>
      <c r="M70">
        <v>0.02</v>
      </c>
      <c r="N70">
        <v>7.7710000000000001E-2</v>
      </c>
    </row>
    <row r="71" spans="1:14" x14ac:dyDescent="0.2">
      <c r="A71">
        <v>69</v>
      </c>
      <c r="B71">
        <v>0.34</v>
      </c>
      <c r="C71">
        <v>0.16</v>
      </c>
      <c r="D71">
        <v>0.21</v>
      </c>
      <c r="E71">
        <v>0.15</v>
      </c>
      <c r="F71">
        <v>0.14000000000000001</v>
      </c>
      <c r="G71">
        <v>0</v>
      </c>
      <c r="H71">
        <v>9.8000000000000004E-2</v>
      </c>
      <c r="I71">
        <v>0.05</v>
      </c>
      <c r="J71">
        <v>0.04</v>
      </c>
      <c r="K71">
        <v>0.03</v>
      </c>
      <c r="L71">
        <v>7.3999999999999996E-2</v>
      </c>
      <c r="M71">
        <v>0.02</v>
      </c>
      <c r="N71">
        <v>6.4579999999999999E-2</v>
      </c>
    </row>
    <row r="72" spans="1:14" x14ac:dyDescent="0.2">
      <c r="A72">
        <v>70</v>
      </c>
      <c r="B72">
        <v>0.32</v>
      </c>
      <c r="C72">
        <v>0.16</v>
      </c>
      <c r="D72">
        <v>0.24</v>
      </c>
      <c r="E72">
        <v>0.12</v>
      </c>
      <c r="F72">
        <v>0.1</v>
      </c>
      <c r="G72">
        <v>6.0000000000000053E-2</v>
      </c>
      <c r="H72">
        <v>7.6999999999999999E-2</v>
      </c>
      <c r="I72">
        <v>0.04</v>
      </c>
      <c r="J72">
        <v>7.0000000000000007E-2</v>
      </c>
      <c r="K72">
        <v>0.04</v>
      </c>
      <c r="L72">
        <v>8.5999999999999993E-2</v>
      </c>
      <c r="M72">
        <v>0.04</v>
      </c>
      <c r="N72">
        <v>6.3640000000000002E-2</v>
      </c>
    </row>
    <row r="73" spans="1:14" x14ac:dyDescent="0.2">
      <c r="A73">
        <v>71</v>
      </c>
      <c r="B73">
        <v>0.35</v>
      </c>
      <c r="C73">
        <v>0.17</v>
      </c>
      <c r="D73">
        <v>0.24</v>
      </c>
      <c r="E73">
        <v>0.11</v>
      </c>
      <c r="F73">
        <v>0.12</v>
      </c>
      <c r="G73">
        <v>1.0000000000000009E-2</v>
      </c>
      <c r="H73">
        <v>0.11600000000000001</v>
      </c>
      <c r="I73">
        <v>0.03</v>
      </c>
      <c r="J73">
        <v>7.0000000000000007E-2</v>
      </c>
      <c r="K73">
        <v>0.05</v>
      </c>
      <c r="L73">
        <v>7.1999999999999995E-2</v>
      </c>
      <c r="M73">
        <v>0.03</v>
      </c>
      <c r="N73">
        <v>7.6939999999999995E-2</v>
      </c>
    </row>
    <row r="74" spans="1:14" x14ac:dyDescent="0.2">
      <c r="A74">
        <v>72</v>
      </c>
      <c r="B74">
        <v>0.34</v>
      </c>
      <c r="C74">
        <v>0.2</v>
      </c>
      <c r="D74">
        <v>0.23</v>
      </c>
      <c r="E74">
        <v>0.13</v>
      </c>
      <c r="F74">
        <v>0.12</v>
      </c>
      <c r="G74">
        <v>-2.0000000000000018E-2</v>
      </c>
      <c r="H74">
        <v>8.4000000000000005E-2</v>
      </c>
      <c r="I74">
        <v>0.05</v>
      </c>
      <c r="J74">
        <v>0.05</v>
      </c>
      <c r="K74">
        <v>0.02</v>
      </c>
      <c r="L74">
        <v>7.3999999999999996E-2</v>
      </c>
      <c r="M74">
        <v>0.04</v>
      </c>
      <c r="N74">
        <v>6.0740000000000009E-2</v>
      </c>
    </row>
    <row r="75" spans="1:14" x14ac:dyDescent="0.2">
      <c r="A75">
        <v>73</v>
      </c>
      <c r="B75">
        <v>0.34</v>
      </c>
      <c r="C75">
        <v>0.17</v>
      </c>
      <c r="D75">
        <v>0.2</v>
      </c>
      <c r="E75">
        <v>0.15</v>
      </c>
      <c r="F75">
        <v>0.13</v>
      </c>
      <c r="G75">
        <v>1.0000000000000009E-2</v>
      </c>
      <c r="H75">
        <v>0.122</v>
      </c>
      <c r="I75">
        <v>0.04</v>
      </c>
      <c r="J75">
        <v>0.05</v>
      </c>
      <c r="K75">
        <v>0.03</v>
      </c>
      <c r="L75">
        <v>0.09</v>
      </c>
      <c r="M75">
        <v>0.04</v>
      </c>
      <c r="N75">
        <v>7.4880000000000002E-2</v>
      </c>
    </row>
    <row r="76" spans="1:14" x14ac:dyDescent="0.2">
      <c r="A76">
        <v>74</v>
      </c>
      <c r="B76">
        <v>0.32</v>
      </c>
      <c r="C76">
        <v>0.2</v>
      </c>
      <c r="D76">
        <v>0.24</v>
      </c>
      <c r="E76">
        <v>0.14000000000000001</v>
      </c>
      <c r="F76">
        <v>0.14000000000000001</v>
      </c>
      <c r="G76">
        <v>-4.0000000000000036E-2</v>
      </c>
      <c r="H76">
        <v>6.5000000000000002E-2</v>
      </c>
      <c r="I76">
        <v>0.05</v>
      </c>
      <c r="J76">
        <v>0.09</v>
      </c>
      <c r="K76">
        <v>0.02</v>
      </c>
      <c r="L76">
        <v>9.9000000000000005E-2</v>
      </c>
      <c r="M76">
        <v>0.02</v>
      </c>
      <c r="N76">
        <v>6.8260000000000001E-2</v>
      </c>
    </row>
    <row r="77" spans="1:14" x14ac:dyDescent="0.2">
      <c r="A77">
        <v>75</v>
      </c>
      <c r="B77">
        <v>0.32</v>
      </c>
      <c r="C77">
        <v>0.2</v>
      </c>
      <c r="D77">
        <v>0.24</v>
      </c>
      <c r="E77">
        <v>0.15</v>
      </c>
      <c r="F77">
        <v>0.15</v>
      </c>
      <c r="G77">
        <v>-6.0000000000000053E-2</v>
      </c>
      <c r="H77">
        <v>9.2999999999999999E-2</v>
      </c>
      <c r="I77">
        <v>0.06</v>
      </c>
      <c r="J77">
        <v>0.1</v>
      </c>
      <c r="K77">
        <v>0.03</v>
      </c>
      <c r="L77">
        <v>7.4999999999999997E-2</v>
      </c>
      <c r="M77">
        <v>0.03</v>
      </c>
      <c r="N77">
        <v>7.9710000000000017E-2</v>
      </c>
    </row>
    <row r="78" spans="1:14" x14ac:dyDescent="0.2">
      <c r="A78">
        <v>76</v>
      </c>
      <c r="B78">
        <v>0.35</v>
      </c>
      <c r="C78">
        <v>0.17</v>
      </c>
      <c r="D78">
        <v>0.23</v>
      </c>
      <c r="E78">
        <v>0.14000000000000001</v>
      </c>
      <c r="F78">
        <v>0.1</v>
      </c>
      <c r="G78">
        <v>1.0000000000000009E-2</v>
      </c>
      <c r="H78">
        <v>6.7000000000000004E-2</v>
      </c>
      <c r="I78">
        <v>0.04</v>
      </c>
      <c r="J78">
        <v>0.08</v>
      </c>
      <c r="K78">
        <v>0.06</v>
      </c>
      <c r="L78">
        <v>8.5999999999999993E-2</v>
      </c>
      <c r="M78">
        <v>0.03</v>
      </c>
      <c r="N78">
        <v>6.5949999999999995E-2</v>
      </c>
    </row>
    <row r="79" spans="1:14" x14ac:dyDescent="0.2">
      <c r="A79">
        <v>77</v>
      </c>
      <c r="B79">
        <v>0.34</v>
      </c>
      <c r="C79">
        <v>0.17</v>
      </c>
      <c r="D79">
        <v>0.24</v>
      </c>
      <c r="E79">
        <v>0.14000000000000001</v>
      </c>
      <c r="F79">
        <v>0.1</v>
      </c>
      <c r="G79">
        <v>1.0000000000000009E-2</v>
      </c>
      <c r="H79">
        <v>9.9000000000000005E-2</v>
      </c>
      <c r="I79">
        <v>0.03</v>
      </c>
      <c r="J79">
        <v>7.0000000000000007E-2</v>
      </c>
      <c r="K79">
        <v>0.02</v>
      </c>
      <c r="L79">
        <v>9.6000000000000002E-2</v>
      </c>
      <c r="M79">
        <v>0.03</v>
      </c>
      <c r="N79">
        <v>6.8260000000000001E-2</v>
      </c>
    </row>
    <row r="80" spans="1:14" x14ac:dyDescent="0.2">
      <c r="A80">
        <v>78</v>
      </c>
      <c r="B80">
        <v>0.32</v>
      </c>
      <c r="C80">
        <v>0.15</v>
      </c>
      <c r="D80">
        <v>0.21</v>
      </c>
      <c r="E80">
        <v>0.14000000000000001</v>
      </c>
      <c r="F80">
        <v>0.15</v>
      </c>
      <c r="G80">
        <v>3.0000000000000027E-2</v>
      </c>
      <c r="H80">
        <v>0.105</v>
      </c>
      <c r="I80">
        <v>0.03</v>
      </c>
      <c r="J80">
        <v>0.06</v>
      </c>
      <c r="K80">
        <v>0.02</v>
      </c>
      <c r="L80">
        <v>0.10299999999999999</v>
      </c>
      <c r="M80">
        <v>0.03</v>
      </c>
      <c r="N80">
        <v>6.9849999999999982E-2</v>
      </c>
    </row>
    <row r="81" spans="1:14" x14ac:dyDescent="0.2">
      <c r="A81">
        <v>79</v>
      </c>
      <c r="B81">
        <v>0.3</v>
      </c>
      <c r="C81">
        <v>0.17</v>
      </c>
      <c r="D81">
        <v>0.25</v>
      </c>
      <c r="E81">
        <v>0.14000000000000001</v>
      </c>
      <c r="F81">
        <v>0.12</v>
      </c>
      <c r="G81">
        <v>2.0000000000000018E-2</v>
      </c>
      <c r="H81">
        <v>8.8999999999999996E-2</v>
      </c>
      <c r="I81">
        <v>0.06</v>
      </c>
      <c r="J81">
        <v>0.04</v>
      </c>
      <c r="K81">
        <v>0.04</v>
      </c>
      <c r="L81">
        <v>6.0999999999999999E-2</v>
      </c>
      <c r="M81">
        <v>0.02</v>
      </c>
      <c r="N81">
        <v>6.0220000000000003E-2</v>
      </c>
    </row>
    <row r="82" spans="1:14" x14ac:dyDescent="0.2">
      <c r="A82">
        <v>80</v>
      </c>
      <c r="B82">
        <v>0.33</v>
      </c>
      <c r="C82">
        <v>0.2</v>
      </c>
      <c r="D82">
        <v>0.25</v>
      </c>
      <c r="E82">
        <v>0.12</v>
      </c>
      <c r="F82">
        <v>0.15</v>
      </c>
      <c r="G82">
        <v>-5.0000000000000044E-2</v>
      </c>
      <c r="H82">
        <v>6.9000000000000006E-2</v>
      </c>
      <c r="I82">
        <v>0.05</v>
      </c>
      <c r="J82">
        <v>0.04</v>
      </c>
      <c r="K82">
        <v>0.06</v>
      </c>
      <c r="L82">
        <v>0.10100000000000001</v>
      </c>
      <c r="M82">
        <v>0.04</v>
      </c>
      <c r="N82">
        <v>6.3120000000000009E-2</v>
      </c>
    </row>
    <row r="83" spans="1:14" x14ac:dyDescent="0.2">
      <c r="A83">
        <v>81</v>
      </c>
      <c r="B83">
        <v>0.35</v>
      </c>
      <c r="C83">
        <v>0.16</v>
      </c>
      <c r="D83">
        <v>0.2</v>
      </c>
      <c r="E83">
        <v>0.1</v>
      </c>
      <c r="F83">
        <v>0.1</v>
      </c>
      <c r="G83">
        <v>9.000000000000008E-2</v>
      </c>
      <c r="H83">
        <v>0.11799999999999999</v>
      </c>
      <c r="I83">
        <v>0.06</v>
      </c>
      <c r="J83">
        <v>0.1</v>
      </c>
      <c r="K83">
        <v>0.03</v>
      </c>
      <c r="L83">
        <v>6.8000000000000005E-2</v>
      </c>
      <c r="M83">
        <v>0.02</v>
      </c>
      <c r="N83">
        <v>8.249999999999999E-2</v>
      </c>
    </row>
    <row r="84" spans="1:14" x14ac:dyDescent="0.2">
      <c r="A84">
        <v>82</v>
      </c>
      <c r="B84">
        <v>0.34</v>
      </c>
      <c r="C84">
        <v>0.2</v>
      </c>
      <c r="D84">
        <v>0.25</v>
      </c>
      <c r="E84">
        <v>0.11</v>
      </c>
      <c r="F84">
        <v>0.14000000000000001</v>
      </c>
      <c r="G84">
        <v>-4.0000000000000036E-2</v>
      </c>
      <c r="H84">
        <v>0.11</v>
      </c>
      <c r="I84">
        <v>0.03</v>
      </c>
      <c r="J84">
        <v>0.09</v>
      </c>
      <c r="K84">
        <v>0.03</v>
      </c>
      <c r="L84">
        <v>7.1999999999999995E-2</v>
      </c>
      <c r="M84">
        <v>0.02</v>
      </c>
      <c r="N84">
        <v>7.8480000000000008E-2</v>
      </c>
    </row>
    <row r="85" spans="1:14" x14ac:dyDescent="0.2">
      <c r="A85">
        <v>83</v>
      </c>
      <c r="B85">
        <v>0.31</v>
      </c>
      <c r="C85">
        <v>0.16</v>
      </c>
      <c r="D85">
        <v>0.25</v>
      </c>
      <c r="E85">
        <v>0.11</v>
      </c>
      <c r="F85">
        <v>0.1</v>
      </c>
      <c r="G85">
        <v>7.0000000000000062E-2</v>
      </c>
      <c r="H85">
        <v>8.2000000000000003E-2</v>
      </c>
      <c r="I85">
        <v>0.06</v>
      </c>
      <c r="J85">
        <v>7.0000000000000007E-2</v>
      </c>
      <c r="K85">
        <v>0.03</v>
      </c>
      <c r="L85">
        <v>7.0999999999999994E-2</v>
      </c>
      <c r="M85">
        <v>0.02</v>
      </c>
      <c r="N85">
        <v>6.4320000000000002E-2</v>
      </c>
    </row>
    <row r="86" spans="1:14" x14ac:dyDescent="0.2">
      <c r="A86">
        <v>84</v>
      </c>
      <c r="B86">
        <v>0.33</v>
      </c>
      <c r="C86">
        <v>0.17</v>
      </c>
      <c r="D86">
        <v>0.2</v>
      </c>
      <c r="E86">
        <v>0.13</v>
      </c>
      <c r="F86">
        <v>0.15</v>
      </c>
      <c r="G86">
        <v>2.0000000000000018E-2</v>
      </c>
      <c r="H86">
        <v>6.7000000000000004E-2</v>
      </c>
      <c r="I86">
        <v>0.03</v>
      </c>
      <c r="J86">
        <v>0.1</v>
      </c>
      <c r="K86">
        <v>0.03</v>
      </c>
      <c r="L86">
        <v>6.4000000000000001E-2</v>
      </c>
      <c r="M86">
        <v>0.02</v>
      </c>
      <c r="N86">
        <v>6.1109999999999998E-2</v>
      </c>
    </row>
    <row r="87" spans="1:14" x14ac:dyDescent="0.2">
      <c r="A87">
        <v>85</v>
      </c>
      <c r="B87">
        <v>0.32</v>
      </c>
      <c r="C87">
        <v>0.15</v>
      </c>
      <c r="D87">
        <v>0.24</v>
      </c>
      <c r="E87">
        <v>0.13</v>
      </c>
      <c r="F87">
        <v>0.15</v>
      </c>
      <c r="G87">
        <v>1.0000000000000009E-2</v>
      </c>
      <c r="H87">
        <v>7.3999999999999996E-2</v>
      </c>
      <c r="I87">
        <v>7.0000000000000007E-2</v>
      </c>
      <c r="J87">
        <v>0.08</v>
      </c>
      <c r="K87">
        <v>0.05</v>
      </c>
      <c r="L87">
        <v>9.2999999999999999E-2</v>
      </c>
      <c r="M87">
        <v>0.04</v>
      </c>
      <c r="N87">
        <v>7.422999999999999E-2</v>
      </c>
    </row>
    <row r="88" spans="1:14" x14ac:dyDescent="0.2">
      <c r="A88">
        <v>86</v>
      </c>
      <c r="B88">
        <v>0.31</v>
      </c>
      <c r="C88">
        <v>0.17</v>
      </c>
      <c r="D88">
        <v>0.2</v>
      </c>
      <c r="E88">
        <v>0.15</v>
      </c>
      <c r="F88">
        <v>0.12</v>
      </c>
      <c r="G88">
        <v>5.0000000000000044E-2</v>
      </c>
      <c r="H88">
        <v>6.7000000000000004E-2</v>
      </c>
      <c r="I88">
        <v>0.03</v>
      </c>
      <c r="J88">
        <v>0.1</v>
      </c>
      <c r="K88">
        <v>0.06</v>
      </c>
      <c r="L88">
        <v>7.6999999999999999E-2</v>
      </c>
      <c r="M88">
        <v>0.03</v>
      </c>
      <c r="N88">
        <v>6.5610000000000016E-2</v>
      </c>
    </row>
    <row r="89" spans="1:14" x14ac:dyDescent="0.2">
      <c r="A89">
        <v>87</v>
      </c>
      <c r="B89">
        <v>0.33</v>
      </c>
      <c r="C89">
        <v>0.19</v>
      </c>
      <c r="D89">
        <v>0.21</v>
      </c>
      <c r="E89">
        <v>0.11</v>
      </c>
      <c r="F89">
        <v>0.12</v>
      </c>
      <c r="G89">
        <v>4.0000000000000036E-2</v>
      </c>
      <c r="H89">
        <v>0.09</v>
      </c>
      <c r="I89">
        <v>0.05</v>
      </c>
      <c r="J89">
        <v>0.08</v>
      </c>
      <c r="K89">
        <v>0.02</v>
      </c>
      <c r="L89">
        <v>7.9000000000000001E-2</v>
      </c>
      <c r="M89">
        <v>0.04</v>
      </c>
      <c r="N89">
        <v>6.9279999999999994E-2</v>
      </c>
    </row>
    <row r="90" spans="1:14" x14ac:dyDescent="0.2">
      <c r="A90">
        <v>88</v>
      </c>
      <c r="B90">
        <v>0.31</v>
      </c>
      <c r="C90">
        <v>0.15</v>
      </c>
      <c r="D90">
        <v>0.23</v>
      </c>
      <c r="E90">
        <v>0.11</v>
      </c>
      <c r="F90">
        <v>0.12</v>
      </c>
      <c r="G90">
        <v>8.0000000000000071E-2</v>
      </c>
      <c r="H90">
        <v>7.5999999999999998E-2</v>
      </c>
      <c r="I90">
        <v>0.03</v>
      </c>
      <c r="J90">
        <v>0.1</v>
      </c>
      <c r="K90">
        <v>0.03</v>
      </c>
      <c r="L90">
        <v>8.4000000000000005E-2</v>
      </c>
      <c r="M90">
        <v>0.03</v>
      </c>
      <c r="N90">
        <v>6.6839999999999997E-2</v>
      </c>
    </row>
    <row r="91" spans="1:14" x14ac:dyDescent="0.2">
      <c r="A91">
        <v>89</v>
      </c>
      <c r="B91">
        <v>0.34</v>
      </c>
      <c r="C91">
        <v>0.19</v>
      </c>
      <c r="D91">
        <v>0.23</v>
      </c>
      <c r="E91">
        <v>0.13</v>
      </c>
      <c r="F91">
        <v>0.11</v>
      </c>
      <c r="G91">
        <v>0</v>
      </c>
      <c r="H91">
        <v>9.8000000000000004E-2</v>
      </c>
      <c r="I91">
        <v>0.03</v>
      </c>
      <c r="J91">
        <v>0.06</v>
      </c>
      <c r="K91">
        <v>0.05</v>
      </c>
      <c r="L91">
        <v>7.6999999999999999E-2</v>
      </c>
      <c r="M91">
        <v>0.02</v>
      </c>
      <c r="N91">
        <v>6.7790000000000003E-2</v>
      </c>
    </row>
    <row r="92" spans="1:14" x14ac:dyDescent="0.2">
      <c r="A92">
        <v>90</v>
      </c>
      <c r="B92">
        <v>0.33</v>
      </c>
      <c r="C92">
        <v>0.2</v>
      </c>
      <c r="D92">
        <v>0.21</v>
      </c>
      <c r="E92">
        <v>0.12</v>
      </c>
      <c r="F92">
        <v>0.1</v>
      </c>
      <c r="G92">
        <v>4.0000000000000036E-2</v>
      </c>
      <c r="H92">
        <v>0.11899999999999999</v>
      </c>
      <c r="I92">
        <v>0.05</v>
      </c>
      <c r="J92">
        <v>0.09</v>
      </c>
      <c r="K92">
        <v>0.04</v>
      </c>
      <c r="L92">
        <v>0.105</v>
      </c>
      <c r="M92">
        <v>0.04</v>
      </c>
      <c r="N92">
        <v>8.5070000000000007E-2</v>
      </c>
    </row>
    <row r="93" spans="1:14" x14ac:dyDescent="0.2">
      <c r="A93">
        <v>91</v>
      </c>
      <c r="B93">
        <v>0.31</v>
      </c>
      <c r="C93">
        <v>0.19</v>
      </c>
      <c r="D93">
        <v>0.23</v>
      </c>
      <c r="E93">
        <v>0.15</v>
      </c>
      <c r="F93">
        <v>0.13</v>
      </c>
      <c r="G93">
        <v>-1.0000000000000009E-2</v>
      </c>
      <c r="H93">
        <v>0.12</v>
      </c>
      <c r="I93">
        <v>0.06</v>
      </c>
      <c r="J93">
        <v>0.08</v>
      </c>
      <c r="K93">
        <v>0.05</v>
      </c>
      <c r="L93">
        <v>7.3999999999999996E-2</v>
      </c>
      <c r="M93">
        <v>0.04</v>
      </c>
      <c r="N93">
        <v>8.3720000000000017E-2</v>
      </c>
    </row>
    <row r="94" spans="1:14" x14ac:dyDescent="0.2">
      <c r="A94">
        <v>92</v>
      </c>
      <c r="B94">
        <v>0.35</v>
      </c>
      <c r="C94">
        <v>0.17</v>
      </c>
      <c r="D94">
        <v>0.22</v>
      </c>
      <c r="E94">
        <v>0.1</v>
      </c>
      <c r="F94">
        <v>0.1</v>
      </c>
      <c r="G94">
        <v>6.0000000000000053E-2</v>
      </c>
      <c r="H94">
        <v>0.11</v>
      </c>
      <c r="I94">
        <v>0.04</v>
      </c>
      <c r="J94">
        <v>0.04</v>
      </c>
      <c r="K94">
        <v>0.04</v>
      </c>
      <c r="L94">
        <v>0.09</v>
      </c>
      <c r="M94">
        <v>0.04</v>
      </c>
      <c r="N94">
        <v>6.9499999999999992E-2</v>
      </c>
    </row>
    <row r="95" spans="1:14" x14ac:dyDescent="0.2">
      <c r="A95">
        <v>93</v>
      </c>
      <c r="B95">
        <v>0.32</v>
      </c>
      <c r="C95">
        <v>0.19</v>
      </c>
      <c r="D95">
        <v>0.24</v>
      </c>
      <c r="E95">
        <v>0.14000000000000001</v>
      </c>
      <c r="F95">
        <v>0.1</v>
      </c>
      <c r="G95">
        <v>1.0000000000000009E-2</v>
      </c>
      <c r="H95">
        <v>0.125</v>
      </c>
      <c r="I95">
        <v>0.05</v>
      </c>
      <c r="J95">
        <v>0.09</v>
      </c>
      <c r="K95">
        <v>0.04</v>
      </c>
      <c r="L95">
        <v>5.8000000000000003E-2</v>
      </c>
      <c r="M95">
        <v>0.02</v>
      </c>
      <c r="N95">
        <v>8.2699999999999996E-2</v>
      </c>
    </row>
    <row r="96" spans="1:14" x14ac:dyDescent="0.2">
      <c r="A96">
        <v>94</v>
      </c>
      <c r="B96">
        <v>0.35</v>
      </c>
      <c r="C96">
        <v>0.18</v>
      </c>
      <c r="D96">
        <v>0.23</v>
      </c>
      <c r="E96">
        <v>0.15</v>
      </c>
      <c r="F96">
        <v>0.13</v>
      </c>
      <c r="G96">
        <v>-4.0000000000000036E-2</v>
      </c>
      <c r="H96">
        <v>0.114</v>
      </c>
      <c r="I96">
        <v>0.06</v>
      </c>
      <c r="J96">
        <v>0.09</v>
      </c>
      <c r="K96">
        <v>0.06</v>
      </c>
      <c r="L96">
        <v>6.8000000000000005E-2</v>
      </c>
      <c r="M96">
        <v>0.03</v>
      </c>
      <c r="N96">
        <v>8.8039999999999979E-2</v>
      </c>
    </row>
    <row r="97" spans="1:14" x14ac:dyDescent="0.2">
      <c r="A97">
        <v>95</v>
      </c>
      <c r="B97">
        <v>0.32</v>
      </c>
      <c r="C97">
        <v>0.15</v>
      </c>
      <c r="D97">
        <v>0.21</v>
      </c>
      <c r="E97">
        <v>0.11</v>
      </c>
      <c r="F97">
        <v>0.11</v>
      </c>
      <c r="G97">
        <v>0.10000000000000009</v>
      </c>
      <c r="H97">
        <v>0.115</v>
      </c>
      <c r="I97">
        <v>0.05</v>
      </c>
      <c r="J97">
        <v>0.06</v>
      </c>
      <c r="K97">
        <v>0.02</v>
      </c>
      <c r="L97">
        <v>8.4000000000000005E-2</v>
      </c>
      <c r="M97">
        <v>0.03</v>
      </c>
      <c r="N97">
        <v>7.1340000000000001E-2</v>
      </c>
    </row>
    <row r="98" spans="1:14" x14ac:dyDescent="0.2">
      <c r="A98">
        <v>96</v>
      </c>
      <c r="B98">
        <v>0.34</v>
      </c>
      <c r="C98">
        <v>0.15</v>
      </c>
      <c r="D98">
        <v>0.21</v>
      </c>
      <c r="E98">
        <v>0.13</v>
      </c>
      <c r="F98">
        <v>0.11</v>
      </c>
      <c r="G98">
        <v>6.0000000000000053E-2</v>
      </c>
      <c r="H98">
        <v>0.108</v>
      </c>
      <c r="I98">
        <v>7.0000000000000007E-2</v>
      </c>
      <c r="J98">
        <v>0.06</v>
      </c>
      <c r="K98">
        <v>0.02</v>
      </c>
      <c r="L98">
        <v>0.104</v>
      </c>
      <c r="M98">
        <v>0.04</v>
      </c>
      <c r="N98">
        <v>7.6260000000000008E-2</v>
      </c>
    </row>
    <row r="99" spans="1:14" x14ac:dyDescent="0.2">
      <c r="A99">
        <v>97</v>
      </c>
      <c r="B99">
        <v>0.35</v>
      </c>
      <c r="C99">
        <v>0.19</v>
      </c>
      <c r="D99">
        <v>0.25</v>
      </c>
      <c r="E99">
        <v>0.11</v>
      </c>
      <c r="F99">
        <v>0.1</v>
      </c>
      <c r="G99">
        <v>0</v>
      </c>
      <c r="H99">
        <v>0.111</v>
      </c>
      <c r="I99">
        <v>0.04</v>
      </c>
      <c r="J99">
        <v>0.09</v>
      </c>
      <c r="K99">
        <v>0.02</v>
      </c>
      <c r="L99">
        <v>5.7000000000000002E-2</v>
      </c>
      <c r="M99">
        <v>0.03</v>
      </c>
      <c r="N99">
        <v>7.6849999999999988E-2</v>
      </c>
    </row>
    <row r="100" spans="1:14" x14ac:dyDescent="0.2">
      <c r="A100">
        <v>98</v>
      </c>
      <c r="B100">
        <v>0.33</v>
      </c>
      <c r="C100">
        <v>0.16</v>
      </c>
      <c r="D100">
        <v>0.2</v>
      </c>
      <c r="E100">
        <v>0.15</v>
      </c>
      <c r="F100">
        <v>0.12</v>
      </c>
      <c r="G100">
        <v>4.0000000000000036E-2</v>
      </c>
      <c r="H100">
        <v>8.8999999999999996E-2</v>
      </c>
      <c r="I100">
        <v>0.06</v>
      </c>
      <c r="J100">
        <v>0.06</v>
      </c>
      <c r="K100">
        <v>0.03</v>
      </c>
      <c r="L100">
        <v>7.4999999999999997E-2</v>
      </c>
      <c r="M100">
        <v>0.03</v>
      </c>
      <c r="N100">
        <v>6.5670000000000006E-2</v>
      </c>
    </row>
    <row r="101" spans="1:14" x14ac:dyDescent="0.2">
      <c r="A101">
        <v>99</v>
      </c>
      <c r="B101">
        <v>0.33</v>
      </c>
      <c r="C101">
        <v>0.18</v>
      </c>
      <c r="D101">
        <v>0.23</v>
      </c>
      <c r="E101">
        <v>0.13</v>
      </c>
      <c r="F101">
        <v>0.12</v>
      </c>
      <c r="G101">
        <v>1.0000000000000009E-2</v>
      </c>
      <c r="H101">
        <v>6.8000000000000005E-2</v>
      </c>
      <c r="I101">
        <v>7.0000000000000007E-2</v>
      </c>
      <c r="J101">
        <v>0.04</v>
      </c>
      <c r="K101">
        <v>0.02</v>
      </c>
      <c r="L101">
        <v>0.06</v>
      </c>
      <c r="M101">
        <v>0.02</v>
      </c>
      <c r="N101">
        <v>5.4239999999999997E-2</v>
      </c>
    </row>
    <row r="102" spans="1:14" x14ac:dyDescent="0.2">
      <c r="A102">
        <v>100</v>
      </c>
      <c r="B102">
        <v>0.34</v>
      </c>
      <c r="C102">
        <v>0.19</v>
      </c>
      <c r="D102">
        <v>0.21</v>
      </c>
      <c r="E102">
        <v>0.14000000000000001</v>
      </c>
      <c r="F102">
        <v>0.12</v>
      </c>
      <c r="G102">
        <v>0</v>
      </c>
      <c r="H102">
        <v>0.112</v>
      </c>
      <c r="I102">
        <v>0.03</v>
      </c>
      <c r="J102">
        <v>0.1</v>
      </c>
      <c r="K102">
        <v>0.02</v>
      </c>
      <c r="L102">
        <v>7.6999999999999999E-2</v>
      </c>
      <c r="M102">
        <v>0.03</v>
      </c>
      <c r="N102">
        <v>7.6819999999999999E-2</v>
      </c>
    </row>
    <row r="103" spans="1:14" x14ac:dyDescent="0.2">
      <c r="A103">
        <v>101</v>
      </c>
      <c r="B103">
        <v>0.33</v>
      </c>
      <c r="C103">
        <v>0.15</v>
      </c>
      <c r="D103">
        <v>0.24</v>
      </c>
      <c r="E103">
        <v>0.14000000000000001</v>
      </c>
      <c r="F103">
        <v>0.13</v>
      </c>
      <c r="G103">
        <v>1.0000000000000009E-2</v>
      </c>
      <c r="H103">
        <v>8.6999999999999994E-2</v>
      </c>
      <c r="I103">
        <v>7.0000000000000007E-2</v>
      </c>
      <c r="J103">
        <v>0.09</v>
      </c>
      <c r="K103">
        <v>0.03</v>
      </c>
      <c r="L103">
        <v>9.7000000000000003E-2</v>
      </c>
      <c r="M103">
        <v>0.03</v>
      </c>
      <c r="N103">
        <v>7.7919999999999989E-2</v>
      </c>
    </row>
    <row r="104" spans="1:14" x14ac:dyDescent="0.2">
      <c r="A104">
        <v>102</v>
      </c>
      <c r="B104">
        <v>0.31</v>
      </c>
      <c r="C104">
        <v>0.16</v>
      </c>
      <c r="D104">
        <v>0.21</v>
      </c>
      <c r="E104">
        <v>0.15</v>
      </c>
      <c r="F104">
        <v>0.1</v>
      </c>
      <c r="G104">
        <v>7.0000000000000062E-2</v>
      </c>
      <c r="H104">
        <v>0.107</v>
      </c>
      <c r="I104">
        <v>0.03</v>
      </c>
      <c r="J104">
        <v>0.1</v>
      </c>
      <c r="K104">
        <v>0.04</v>
      </c>
      <c r="L104">
        <v>0.1</v>
      </c>
      <c r="M104">
        <v>0.02</v>
      </c>
      <c r="N104">
        <v>7.6370000000000007E-2</v>
      </c>
    </row>
    <row r="105" spans="1:14" x14ac:dyDescent="0.2">
      <c r="A105">
        <v>103</v>
      </c>
      <c r="B105">
        <v>0.34</v>
      </c>
      <c r="C105">
        <v>0.2</v>
      </c>
      <c r="D105">
        <v>0.23</v>
      </c>
      <c r="E105">
        <v>0.1</v>
      </c>
      <c r="F105">
        <v>0.1</v>
      </c>
      <c r="G105">
        <v>3.0000000000000027E-2</v>
      </c>
      <c r="H105">
        <v>8.4000000000000005E-2</v>
      </c>
      <c r="I105">
        <v>7.0000000000000007E-2</v>
      </c>
      <c r="J105">
        <v>0.06</v>
      </c>
      <c r="K105">
        <v>0.03</v>
      </c>
      <c r="L105">
        <v>0.10299999999999999</v>
      </c>
      <c r="M105">
        <v>0.03</v>
      </c>
      <c r="N105">
        <v>7.0560000000000012E-2</v>
      </c>
    </row>
    <row r="106" spans="1:14" x14ac:dyDescent="0.2">
      <c r="A106">
        <v>104</v>
      </c>
      <c r="B106">
        <v>0.35</v>
      </c>
      <c r="C106">
        <v>0.19</v>
      </c>
      <c r="D106">
        <v>0.22</v>
      </c>
      <c r="E106">
        <v>0.1</v>
      </c>
      <c r="F106">
        <v>0.13</v>
      </c>
      <c r="G106">
        <v>1.0000000000000009E-2</v>
      </c>
      <c r="H106">
        <v>0.105</v>
      </c>
      <c r="I106">
        <v>0.04</v>
      </c>
      <c r="J106">
        <v>7.0000000000000007E-2</v>
      </c>
      <c r="K106">
        <v>0.04</v>
      </c>
      <c r="L106">
        <v>8.6999999999999994E-2</v>
      </c>
      <c r="M106">
        <v>0.03</v>
      </c>
      <c r="N106">
        <v>7.5359999999999996E-2</v>
      </c>
    </row>
    <row r="107" spans="1:14" x14ac:dyDescent="0.2">
      <c r="A107">
        <v>105</v>
      </c>
      <c r="B107">
        <v>0.33</v>
      </c>
      <c r="C107">
        <v>0.17</v>
      </c>
      <c r="D107">
        <v>0.24</v>
      </c>
      <c r="E107">
        <v>0.13</v>
      </c>
      <c r="F107">
        <v>0.13</v>
      </c>
      <c r="G107">
        <v>0</v>
      </c>
      <c r="H107">
        <v>6.8000000000000005E-2</v>
      </c>
      <c r="I107">
        <v>0.06</v>
      </c>
      <c r="J107">
        <v>0.09</v>
      </c>
      <c r="K107">
        <v>0.02</v>
      </c>
      <c r="L107">
        <v>8.7999999999999995E-2</v>
      </c>
      <c r="M107">
        <v>0.04</v>
      </c>
      <c r="N107">
        <v>6.8279999999999993E-2</v>
      </c>
    </row>
    <row r="108" spans="1:14" x14ac:dyDescent="0.2">
      <c r="A108">
        <v>106</v>
      </c>
      <c r="B108">
        <v>0.32</v>
      </c>
      <c r="C108">
        <v>0.16</v>
      </c>
      <c r="D108">
        <v>0.21</v>
      </c>
      <c r="E108">
        <v>0.1</v>
      </c>
      <c r="F108">
        <v>0.12</v>
      </c>
      <c r="G108">
        <v>9.000000000000008E-2</v>
      </c>
      <c r="H108">
        <v>0.11700000000000001</v>
      </c>
      <c r="I108">
        <v>0.05</v>
      </c>
      <c r="J108">
        <v>0.06</v>
      </c>
      <c r="K108">
        <v>0.05</v>
      </c>
      <c r="L108">
        <v>6.4000000000000001E-2</v>
      </c>
      <c r="M108">
        <v>0.03</v>
      </c>
      <c r="N108">
        <v>7.3420000000000013E-2</v>
      </c>
    </row>
    <row r="109" spans="1:14" x14ac:dyDescent="0.2">
      <c r="A109">
        <v>107</v>
      </c>
      <c r="B109">
        <v>0.35</v>
      </c>
      <c r="C109">
        <v>0.19</v>
      </c>
      <c r="D109">
        <v>0.2</v>
      </c>
      <c r="E109">
        <v>0.12</v>
      </c>
      <c r="F109">
        <v>0.15</v>
      </c>
      <c r="G109">
        <v>-1.0000000000000009E-2</v>
      </c>
      <c r="H109">
        <v>0.1</v>
      </c>
      <c r="I109">
        <v>0.04</v>
      </c>
      <c r="J109">
        <v>7.0000000000000007E-2</v>
      </c>
      <c r="K109">
        <v>0.03</v>
      </c>
      <c r="L109">
        <v>0.105</v>
      </c>
      <c r="M109">
        <v>0.03</v>
      </c>
      <c r="N109">
        <v>7.5649999999999995E-2</v>
      </c>
    </row>
    <row r="110" spans="1:14" x14ac:dyDescent="0.2">
      <c r="A110">
        <v>108</v>
      </c>
      <c r="B110">
        <v>0.35</v>
      </c>
      <c r="C110">
        <v>0.2</v>
      </c>
      <c r="D110">
        <v>0.22</v>
      </c>
      <c r="E110">
        <v>0.12</v>
      </c>
      <c r="F110">
        <v>0.13</v>
      </c>
      <c r="G110">
        <v>-2.0000000000000018E-2</v>
      </c>
      <c r="H110">
        <v>7.5999999999999998E-2</v>
      </c>
      <c r="I110">
        <v>0.05</v>
      </c>
      <c r="J110">
        <v>0.08</v>
      </c>
      <c r="K110">
        <v>0.02</v>
      </c>
      <c r="L110">
        <v>0.10100000000000001</v>
      </c>
      <c r="M110">
        <v>0.03</v>
      </c>
      <c r="N110">
        <v>6.9129999999999997E-2</v>
      </c>
    </row>
    <row r="111" spans="1:14" x14ac:dyDescent="0.2">
      <c r="A111">
        <v>109</v>
      </c>
      <c r="B111">
        <v>0.3</v>
      </c>
      <c r="C111">
        <v>0.19</v>
      </c>
      <c r="D111">
        <v>0.23</v>
      </c>
      <c r="E111">
        <v>0.13</v>
      </c>
      <c r="F111">
        <v>0.14000000000000001</v>
      </c>
      <c r="G111">
        <v>1.0000000000000009E-2</v>
      </c>
      <c r="H111">
        <v>6.7000000000000004E-2</v>
      </c>
      <c r="I111">
        <v>0.05</v>
      </c>
      <c r="J111">
        <v>0.1</v>
      </c>
      <c r="K111">
        <v>0.03</v>
      </c>
      <c r="L111">
        <v>7.8E-2</v>
      </c>
      <c r="M111">
        <v>0.04</v>
      </c>
      <c r="N111">
        <v>6.7820000000000005E-2</v>
      </c>
    </row>
    <row r="112" spans="1:14" x14ac:dyDescent="0.2">
      <c r="A112">
        <v>110</v>
      </c>
      <c r="B112">
        <v>0.35</v>
      </c>
      <c r="C112">
        <v>0.15</v>
      </c>
      <c r="D112">
        <v>0.21</v>
      </c>
      <c r="E112">
        <v>0.13</v>
      </c>
      <c r="F112">
        <v>0.15</v>
      </c>
      <c r="G112">
        <v>1.0000000000000009E-2</v>
      </c>
      <c r="H112">
        <v>0.107</v>
      </c>
      <c r="I112">
        <v>0.03</v>
      </c>
      <c r="J112">
        <v>0.08</v>
      </c>
      <c r="K112">
        <v>0.04</v>
      </c>
      <c r="L112">
        <v>9.9000000000000005E-2</v>
      </c>
      <c r="M112">
        <v>0.04</v>
      </c>
      <c r="N112">
        <v>7.9199999999999993E-2</v>
      </c>
    </row>
    <row r="113" spans="1:14" x14ac:dyDescent="0.2">
      <c r="A113">
        <v>111</v>
      </c>
      <c r="B113">
        <v>0.33</v>
      </c>
      <c r="C113">
        <v>0.19</v>
      </c>
      <c r="D113">
        <v>0.2</v>
      </c>
      <c r="E113">
        <v>0.13</v>
      </c>
      <c r="F113">
        <v>0.12</v>
      </c>
      <c r="G113">
        <v>3.0000000000000027E-2</v>
      </c>
      <c r="H113">
        <v>9.9000000000000005E-2</v>
      </c>
      <c r="I113">
        <v>0.06</v>
      </c>
      <c r="J113">
        <v>0.06</v>
      </c>
      <c r="K113">
        <v>0.04</v>
      </c>
      <c r="L113">
        <v>7.0999999999999994E-2</v>
      </c>
      <c r="M113">
        <v>0.04</v>
      </c>
      <c r="N113">
        <v>7.0990000000000011E-2</v>
      </c>
    </row>
    <row r="114" spans="1:14" x14ac:dyDescent="0.2">
      <c r="A114">
        <v>112</v>
      </c>
      <c r="B114">
        <v>0.35</v>
      </c>
      <c r="C114">
        <v>0.18</v>
      </c>
      <c r="D114">
        <v>0.22</v>
      </c>
      <c r="E114">
        <v>0.11</v>
      </c>
      <c r="F114">
        <v>0.13</v>
      </c>
      <c r="G114">
        <v>1.0000000000000009E-2</v>
      </c>
      <c r="H114">
        <v>9.6000000000000002E-2</v>
      </c>
      <c r="I114">
        <v>0.04</v>
      </c>
      <c r="J114">
        <v>0.05</v>
      </c>
      <c r="K114">
        <v>0.02</v>
      </c>
      <c r="L114">
        <v>0.10199999999999999</v>
      </c>
      <c r="M114">
        <v>0.03</v>
      </c>
      <c r="N114">
        <v>6.7559999999999995E-2</v>
      </c>
    </row>
    <row r="115" spans="1:14" x14ac:dyDescent="0.2">
      <c r="A115">
        <v>113</v>
      </c>
      <c r="B115">
        <v>0.33</v>
      </c>
      <c r="C115">
        <v>0.17</v>
      </c>
      <c r="D115">
        <v>0.2</v>
      </c>
      <c r="E115">
        <v>0.14000000000000001</v>
      </c>
      <c r="F115">
        <v>0.1</v>
      </c>
      <c r="G115">
        <v>6.0000000000000053E-2</v>
      </c>
      <c r="H115">
        <v>9.1999999999999998E-2</v>
      </c>
      <c r="I115">
        <v>7.0000000000000007E-2</v>
      </c>
      <c r="J115">
        <v>7.0000000000000007E-2</v>
      </c>
      <c r="K115">
        <v>0.03</v>
      </c>
      <c r="L115">
        <v>6.0999999999999999E-2</v>
      </c>
      <c r="M115">
        <v>0.04</v>
      </c>
      <c r="N115">
        <v>6.8960000000000007E-2</v>
      </c>
    </row>
    <row r="116" spans="1:14" x14ac:dyDescent="0.2">
      <c r="A116">
        <v>114</v>
      </c>
      <c r="B116">
        <v>0.34</v>
      </c>
      <c r="C116">
        <v>0.15</v>
      </c>
      <c r="D116">
        <v>0.23</v>
      </c>
      <c r="E116">
        <v>0.1</v>
      </c>
      <c r="F116">
        <v>0.12</v>
      </c>
      <c r="G116">
        <v>6.0000000000000053E-2</v>
      </c>
      <c r="H116">
        <v>0.11600000000000001</v>
      </c>
      <c r="I116">
        <v>0.05</v>
      </c>
      <c r="J116">
        <v>0.05</v>
      </c>
      <c r="K116">
        <v>0.02</v>
      </c>
      <c r="L116">
        <v>9.6000000000000002E-2</v>
      </c>
      <c r="M116">
        <v>0.03</v>
      </c>
      <c r="N116">
        <v>7.3760000000000006E-2</v>
      </c>
    </row>
    <row r="117" spans="1:14" x14ac:dyDescent="0.2">
      <c r="A117">
        <v>115</v>
      </c>
      <c r="B117">
        <v>0.35</v>
      </c>
      <c r="C117">
        <v>0.17</v>
      </c>
      <c r="D117">
        <v>0.2</v>
      </c>
      <c r="E117">
        <v>0.13</v>
      </c>
      <c r="F117">
        <v>0.13</v>
      </c>
      <c r="G117">
        <v>2.0000000000000018E-2</v>
      </c>
      <c r="H117">
        <v>6.7000000000000004E-2</v>
      </c>
      <c r="I117">
        <v>0.04</v>
      </c>
      <c r="J117">
        <v>7.0000000000000007E-2</v>
      </c>
      <c r="K117">
        <v>0.06</v>
      </c>
      <c r="L117">
        <v>6.0999999999999999E-2</v>
      </c>
      <c r="M117">
        <v>0.02</v>
      </c>
      <c r="N117">
        <v>6.0379999999999996E-2</v>
      </c>
    </row>
    <row r="118" spans="1:14" x14ac:dyDescent="0.2">
      <c r="A118">
        <v>116</v>
      </c>
      <c r="B118">
        <v>0.33</v>
      </c>
      <c r="C118">
        <v>0.19</v>
      </c>
      <c r="D118">
        <v>0.2</v>
      </c>
      <c r="E118">
        <v>0.14000000000000001</v>
      </c>
      <c r="F118">
        <v>0.11</v>
      </c>
      <c r="G118">
        <v>3.0000000000000027E-2</v>
      </c>
      <c r="H118">
        <v>9.6000000000000002E-2</v>
      </c>
      <c r="I118">
        <v>0.06</v>
      </c>
      <c r="J118">
        <v>7.0000000000000007E-2</v>
      </c>
      <c r="K118">
        <v>0.06</v>
      </c>
      <c r="L118">
        <v>9.4E-2</v>
      </c>
      <c r="M118">
        <v>0.03</v>
      </c>
      <c r="N118">
        <v>7.672000000000001E-2</v>
      </c>
    </row>
    <row r="119" spans="1:14" x14ac:dyDescent="0.2">
      <c r="A119">
        <v>117</v>
      </c>
      <c r="B119">
        <v>0.31</v>
      </c>
      <c r="C119">
        <v>0.17</v>
      </c>
      <c r="D119">
        <v>0.23</v>
      </c>
      <c r="E119">
        <v>0.15</v>
      </c>
      <c r="F119">
        <v>0.14000000000000001</v>
      </c>
      <c r="G119">
        <v>0</v>
      </c>
      <c r="H119">
        <v>8.6999999999999994E-2</v>
      </c>
      <c r="I119">
        <v>0.03</v>
      </c>
      <c r="J119">
        <v>0.1</v>
      </c>
      <c r="K119">
        <v>0.03</v>
      </c>
      <c r="L119">
        <v>7.8E-2</v>
      </c>
      <c r="M119">
        <v>0.03</v>
      </c>
      <c r="N119">
        <v>7.0490000000000011E-2</v>
      </c>
    </row>
    <row r="120" spans="1:14" x14ac:dyDescent="0.2">
      <c r="A120">
        <v>118</v>
      </c>
      <c r="B120">
        <v>0.3</v>
      </c>
      <c r="C120">
        <v>0.17</v>
      </c>
      <c r="D120">
        <v>0.2</v>
      </c>
      <c r="E120">
        <v>0.11</v>
      </c>
      <c r="F120">
        <v>0.13</v>
      </c>
      <c r="G120">
        <v>9.000000000000008E-2</v>
      </c>
      <c r="H120">
        <v>9.6000000000000002E-2</v>
      </c>
      <c r="I120">
        <v>7.0000000000000007E-2</v>
      </c>
      <c r="J120">
        <v>0.05</v>
      </c>
      <c r="K120">
        <v>0.05</v>
      </c>
      <c r="L120">
        <v>0.08</v>
      </c>
      <c r="M120">
        <v>0.04</v>
      </c>
      <c r="N120">
        <v>7.0200000000000012E-2</v>
      </c>
    </row>
    <row r="121" spans="1:14" x14ac:dyDescent="0.2">
      <c r="A121">
        <v>119</v>
      </c>
      <c r="B121">
        <v>0.33</v>
      </c>
      <c r="C121">
        <v>0.2</v>
      </c>
      <c r="D121">
        <v>0.23</v>
      </c>
      <c r="E121">
        <v>0.12</v>
      </c>
      <c r="F121">
        <v>0.11</v>
      </c>
      <c r="G121">
        <v>1.0000000000000009E-2</v>
      </c>
      <c r="H121">
        <v>7.1999999999999995E-2</v>
      </c>
      <c r="I121">
        <v>0.03</v>
      </c>
      <c r="J121">
        <v>0.05</v>
      </c>
      <c r="K121">
        <v>0.04</v>
      </c>
      <c r="L121">
        <v>0.06</v>
      </c>
      <c r="M121">
        <v>0.02</v>
      </c>
      <c r="N121">
        <v>5.2860000000000004E-2</v>
      </c>
    </row>
    <row r="122" spans="1:14" x14ac:dyDescent="0.2">
      <c r="A122">
        <v>120</v>
      </c>
      <c r="B122">
        <v>0.31</v>
      </c>
      <c r="C122">
        <v>0.18</v>
      </c>
      <c r="D122">
        <v>0.25</v>
      </c>
      <c r="E122">
        <v>0.1</v>
      </c>
      <c r="F122">
        <v>0.11</v>
      </c>
      <c r="G122">
        <v>5.0000000000000044E-2</v>
      </c>
      <c r="H122">
        <v>9.9000000000000005E-2</v>
      </c>
      <c r="I122">
        <v>0.03</v>
      </c>
      <c r="J122">
        <v>0.1</v>
      </c>
      <c r="K122">
        <v>0.06</v>
      </c>
      <c r="L122">
        <v>9.5000000000000001E-2</v>
      </c>
      <c r="M122">
        <v>0.03</v>
      </c>
      <c r="N122">
        <v>7.9040000000000013E-2</v>
      </c>
    </row>
    <row r="123" spans="1:14" x14ac:dyDescent="0.2">
      <c r="A123">
        <v>121</v>
      </c>
      <c r="B123">
        <v>0.35</v>
      </c>
      <c r="C123">
        <v>0.17</v>
      </c>
      <c r="D123">
        <v>0.21</v>
      </c>
      <c r="E123">
        <v>0.14000000000000001</v>
      </c>
      <c r="F123">
        <v>0.12</v>
      </c>
      <c r="G123">
        <v>1.0000000000000009E-2</v>
      </c>
      <c r="H123">
        <v>6.6000000000000003E-2</v>
      </c>
      <c r="I123">
        <v>0.06</v>
      </c>
      <c r="J123">
        <v>0.08</v>
      </c>
      <c r="K123">
        <v>0.04</v>
      </c>
      <c r="L123">
        <v>0.09</v>
      </c>
      <c r="M123">
        <v>0.04</v>
      </c>
      <c r="N123">
        <v>6.6899999999999987E-2</v>
      </c>
    </row>
    <row r="124" spans="1:14" x14ac:dyDescent="0.2">
      <c r="A124">
        <v>122</v>
      </c>
      <c r="B124">
        <v>0.34</v>
      </c>
      <c r="C124">
        <v>0.18</v>
      </c>
      <c r="D124">
        <v>0.25</v>
      </c>
      <c r="E124">
        <v>0.12</v>
      </c>
      <c r="F124">
        <v>0.14000000000000001</v>
      </c>
      <c r="G124">
        <v>-3.0000000000000027E-2</v>
      </c>
      <c r="H124">
        <v>9.0999999999999998E-2</v>
      </c>
      <c r="I124">
        <v>0.06</v>
      </c>
      <c r="J124">
        <v>7.0000000000000007E-2</v>
      </c>
      <c r="K124">
        <v>0.03</v>
      </c>
      <c r="L124">
        <v>9.9000000000000005E-2</v>
      </c>
      <c r="M124">
        <v>0.02</v>
      </c>
      <c r="N124">
        <v>7.6100000000000001E-2</v>
      </c>
    </row>
    <row r="125" spans="1:14" x14ac:dyDescent="0.2">
      <c r="A125">
        <v>123</v>
      </c>
      <c r="B125">
        <v>0.32</v>
      </c>
      <c r="C125">
        <v>0.16</v>
      </c>
      <c r="D125">
        <v>0.24</v>
      </c>
      <c r="E125">
        <v>0.1</v>
      </c>
      <c r="F125">
        <v>0.1</v>
      </c>
      <c r="G125">
        <v>8.0000000000000071E-2</v>
      </c>
      <c r="H125">
        <v>8.5000000000000006E-2</v>
      </c>
      <c r="I125">
        <v>0.03</v>
      </c>
      <c r="J125">
        <v>0.08</v>
      </c>
      <c r="K125">
        <v>0.05</v>
      </c>
      <c r="L125">
        <v>7.1999999999999995E-2</v>
      </c>
      <c r="M125">
        <v>0.04</v>
      </c>
      <c r="N125">
        <v>6.6600000000000006E-2</v>
      </c>
    </row>
    <row r="126" spans="1:14" x14ac:dyDescent="0.2">
      <c r="A126">
        <v>124</v>
      </c>
      <c r="B126">
        <v>0.34</v>
      </c>
      <c r="C126">
        <v>0.2</v>
      </c>
      <c r="D126">
        <v>0.24</v>
      </c>
      <c r="E126">
        <v>0.14000000000000001</v>
      </c>
      <c r="F126">
        <v>0.12</v>
      </c>
      <c r="G126">
        <v>-4.0000000000000036E-2</v>
      </c>
      <c r="H126">
        <v>0.114</v>
      </c>
      <c r="I126">
        <v>0.04</v>
      </c>
      <c r="J126">
        <v>0.08</v>
      </c>
      <c r="K126">
        <v>0.03</v>
      </c>
      <c r="L126">
        <v>8.3000000000000004E-2</v>
      </c>
      <c r="M126">
        <v>0.03</v>
      </c>
      <c r="N126">
        <v>7.891999999999999E-2</v>
      </c>
    </row>
    <row r="127" spans="1:14" x14ac:dyDescent="0.2">
      <c r="A127">
        <v>125</v>
      </c>
      <c r="B127">
        <v>0.32</v>
      </c>
      <c r="C127">
        <v>0.15</v>
      </c>
      <c r="D127">
        <v>0.22</v>
      </c>
      <c r="E127">
        <v>0.1</v>
      </c>
      <c r="F127">
        <v>0.14000000000000001</v>
      </c>
      <c r="G127">
        <v>7.0000000000000062E-2</v>
      </c>
      <c r="H127">
        <v>8.1000000000000003E-2</v>
      </c>
      <c r="I127">
        <v>0.03</v>
      </c>
      <c r="J127">
        <v>0.06</v>
      </c>
      <c r="K127">
        <v>0.06</v>
      </c>
      <c r="L127">
        <v>6.9000000000000006E-2</v>
      </c>
      <c r="M127">
        <v>0.02</v>
      </c>
      <c r="N127">
        <v>6.0680000000000005E-2</v>
      </c>
    </row>
    <row r="128" spans="1:14" x14ac:dyDescent="0.2">
      <c r="A128">
        <v>126</v>
      </c>
      <c r="B128">
        <v>0.31</v>
      </c>
      <c r="C128">
        <v>0.2</v>
      </c>
      <c r="D128">
        <v>0.23</v>
      </c>
      <c r="E128">
        <v>0.11</v>
      </c>
      <c r="F128">
        <v>0.15</v>
      </c>
      <c r="G128">
        <v>0</v>
      </c>
      <c r="H128">
        <v>0.10299999999999999</v>
      </c>
      <c r="I128">
        <v>7.0000000000000007E-2</v>
      </c>
      <c r="J128">
        <v>0.04</v>
      </c>
      <c r="K128">
        <v>0.05</v>
      </c>
      <c r="L128">
        <v>8.5000000000000006E-2</v>
      </c>
      <c r="M128">
        <v>0.04</v>
      </c>
      <c r="N128">
        <v>7.3380000000000001E-2</v>
      </c>
    </row>
    <row r="129" spans="1:14" x14ac:dyDescent="0.2">
      <c r="A129">
        <v>127</v>
      </c>
      <c r="B129">
        <v>0.35</v>
      </c>
      <c r="C129">
        <v>0.2</v>
      </c>
      <c r="D129">
        <v>0.21</v>
      </c>
      <c r="E129">
        <v>0.15</v>
      </c>
      <c r="F129">
        <v>0.1</v>
      </c>
      <c r="G129">
        <v>-1.0000000000000009E-2</v>
      </c>
      <c r="H129">
        <v>0.121</v>
      </c>
      <c r="I129">
        <v>7.0000000000000007E-2</v>
      </c>
      <c r="J129">
        <v>0.05</v>
      </c>
      <c r="K129">
        <v>0.02</v>
      </c>
      <c r="L129">
        <v>8.8999999999999996E-2</v>
      </c>
      <c r="M129">
        <v>0.03</v>
      </c>
      <c r="N129">
        <v>7.8450000000000006E-2</v>
      </c>
    </row>
    <row r="130" spans="1:14" x14ac:dyDescent="0.2">
      <c r="A130">
        <v>128</v>
      </c>
      <c r="B130">
        <v>0.3</v>
      </c>
      <c r="C130">
        <v>0.15</v>
      </c>
      <c r="D130">
        <v>0.2</v>
      </c>
      <c r="E130">
        <v>0.15</v>
      </c>
      <c r="F130">
        <v>0.11</v>
      </c>
      <c r="G130">
        <v>9.000000000000008E-2</v>
      </c>
      <c r="H130">
        <v>7.3999999999999996E-2</v>
      </c>
      <c r="I130">
        <v>0.04</v>
      </c>
      <c r="J130">
        <v>0.1</v>
      </c>
      <c r="K130">
        <v>0.03</v>
      </c>
      <c r="L130">
        <v>8.3000000000000004E-2</v>
      </c>
      <c r="M130">
        <v>0.04</v>
      </c>
      <c r="N130">
        <v>6.5430000000000002E-2</v>
      </c>
    </row>
    <row r="131" spans="1:14" x14ac:dyDescent="0.2">
      <c r="A131">
        <v>129</v>
      </c>
      <c r="B131">
        <v>0.31</v>
      </c>
      <c r="C131">
        <v>0.15</v>
      </c>
      <c r="D131">
        <v>0.22</v>
      </c>
      <c r="E131">
        <v>0.13</v>
      </c>
      <c r="F131">
        <v>0.15</v>
      </c>
      <c r="G131">
        <v>4.0000000000000036E-2</v>
      </c>
      <c r="H131">
        <v>8.3000000000000004E-2</v>
      </c>
      <c r="I131">
        <v>0.06</v>
      </c>
      <c r="J131">
        <v>7.0000000000000007E-2</v>
      </c>
      <c r="K131">
        <v>0.03</v>
      </c>
      <c r="L131">
        <v>0.105</v>
      </c>
      <c r="M131">
        <v>0.02</v>
      </c>
      <c r="N131">
        <v>7.0580000000000004E-2</v>
      </c>
    </row>
    <row r="132" spans="1:14" x14ac:dyDescent="0.2">
      <c r="A132">
        <v>130</v>
      </c>
      <c r="B132">
        <v>0.34</v>
      </c>
      <c r="C132">
        <v>0.16</v>
      </c>
      <c r="D132">
        <v>0.2</v>
      </c>
      <c r="E132">
        <v>0.13</v>
      </c>
      <c r="F132">
        <v>0.15</v>
      </c>
      <c r="G132">
        <v>2.0000000000000018E-2</v>
      </c>
      <c r="H132">
        <v>6.5000000000000002E-2</v>
      </c>
      <c r="I132">
        <v>0.03</v>
      </c>
      <c r="J132">
        <v>0.08</v>
      </c>
      <c r="K132">
        <v>0.06</v>
      </c>
      <c r="L132">
        <v>8.1000000000000003E-2</v>
      </c>
      <c r="M132">
        <v>0.02</v>
      </c>
      <c r="N132">
        <v>6.3250000000000001E-2</v>
      </c>
    </row>
    <row r="133" spans="1:14" x14ac:dyDescent="0.2">
      <c r="A133">
        <v>131</v>
      </c>
      <c r="B133">
        <v>0.31</v>
      </c>
      <c r="C133">
        <v>0.19</v>
      </c>
      <c r="D133">
        <v>0.25</v>
      </c>
      <c r="E133">
        <v>0.14000000000000001</v>
      </c>
      <c r="F133">
        <v>0.13</v>
      </c>
      <c r="G133">
        <v>-2.0000000000000018E-2</v>
      </c>
      <c r="H133">
        <v>0.124</v>
      </c>
      <c r="I133">
        <v>7.0000000000000007E-2</v>
      </c>
      <c r="J133">
        <v>0.08</v>
      </c>
      <c r="K133">
        <v>0.06</v>
      </c>
      <c r="L133">
        <v>7.9000000000000001E-2</v>
      </c>
      <c r="M133">
        <v>0.02</v>
      </c>
      <c r="N133">
        <v>9.0010000000000007E-2</v>
      </c>
    </row>
    <row r="134" spans="1:14" x14ac:dyDescent="0.2">
      <c r="A134">
        <v>132</v>
      </c>
      <c r="B134">
        <v>0.3</v>
      </c>
      <c r="C134">
        <v>0.15</v>
      </c>
      <c r="D134">
        <v>0.24</v>
      </c>
      <c r="E134">
        <v>0.11</v>
      </c>
      <c r="F134">
        <v>0.15</v>
      </c>
      <c r="G134">
        <v>5.0000000000000044E-2</v>
      </c>
      <c r="H134">
        <v>7.5999999999999998E-2</v>
      </c>
      <c r="I134">
        <v>0.05</v>
      </c>
      <c r="J134">
        <v>0.08</v>
      </c>
      <c r="K134">
        <v>0.06</v>
      </c>
      <c r="L134">
        <v>9.5000000000000001E-2</v>
      </c>
      <c r="M134">
        <v>0.03</v>
      </c>
      <c r="N134">
        <v>7.1849999999999997E-2</v>
      </c>
    </row>
    <row r="135" spans="1:14" x14ac:dyDescent="0.2">
      <c r="A135">
        <v>133</v>
      </c>
      <c r="B135">
        <v>0.31</v>
      </c>
      <c r="C135">
        <v>0.17</v>
      </c>
      <c r="D135">
        <v>0.21</v>
      </c>
      <c r="E135">
        <v>0.13</v>
      </c>
      <c r="F135">
        <v>0.1</v>
      </c>
      <c r="G135">
        <v>8.0000000000000071E-2</v>
      </c>
      <c r="H135">
        <v>6.8000000000000005E-2</v>
      </c>
      <c r="I135">
        <v>7.0000000000000007E-2</v>
      </c>
      <c r="J135">
        <v>0.05</v>
      </c>
      <c r="K135">
        <v>0.03</v>
      </c>
      <c r="L135">
        <v>9.6000000000000002E-2</v>
      </c>
      <c r="M135">
        <v>0.02</v>
      </c>
      <c r="N135">
        <v>5.8580000000000007E-2</v>
      </c>
    </row>
    <row r="136" spans="1:14" x14ac:dyDescent="0.2">
      <c r="A136">
        <v>134</v>
      </c>
      <c r="B136">
        <v>0.33</v>
      </c>
      <c r="C136">
        <v>0.16</v>
      </c>
      <c r="D136">
        <v>0.2</v>
      </c>
      <c r="E136">
        <v>0.13</v>
      </c>
      <c r="F136">
        <v>0.12</v>
      </c>
      <c r="G136">
        <v>6.0000000000000053E-2</v>
      </c>
      <c r="H136">
        <v>7.3999999999999996E-2</v>
      </c>
      <c r="I136">
        <v>0.06</v>
      </c>
      <c r="J136">
        <v>0.09</v>
      </c>
      <c r="K136">
        <v>0.03</v>
      </c>
      <c r="L136">
        <v>6.0999999999999999E-2</v>
      </c>
      <c r="M136">
        <v>0.02</v>
      </c>
      <c r="N136">
        <v>6.4439999999999997E-2</v>
      </c>
    </row>
    <row r="137" spans="1:14" x14ac:dyDescent="0.2">
      <c r="A137">
        <v>135</v>
      </c>
      <c r="B137">
        <v>0.35</v>
      </c>
      <c r="C137">
        <v>0.19</v>
      </c>
      <c r="D137">
        <v>0.2</v>
      </c>
      <c r="E137">
        <v>0.14000000000000001</v>
      </c>
      <c r="F137">
        <v>0.14000000000000001</v>
      </c>
      <c r="G137">
        <v>-2.0000000000000018E-2</v>
      </c>
      <c r="H137">
        <v>7.0000000000000007E-2</v>
      </c>
      <c r="I137">
        <v>0.05</v>
      </c>
      <c r="J137">
        <v>0.06</v>
      </c>
      <c r="K137">
        <v>0.02</v>
      </c>
      <c r="L137">
        <v>7.8E-2</v>
      </c>
      <c r="M137">
        <v>0.02</v>
      </c>
      <c r="N137">
        <v>5.9319999999999998E-2</v>
      </c>
    </row>
    <row r="138" spans="1:14" x14ac:dyDescent="0.2">
      <c r="A138">
        <v>136</v>
      </c>
      <c r="B138">
        <v>0.31</v>
      </c>
      <c r="C138">
        <v>0.19</v>
      </c>
      <c r="D138">
        <v>0.21</v>
      </c>
      <c r="E138">
        <v>0.13</v>
      </c>
      <c r="F138">
        <v>0.15</v>
      </c>
      <c r="G138">
        <v>1.0000000000000009E-2</v>
      </c>
      <c r="H138">
        <v>0.107</v>
      </c>
      <c r="I138">
        <v>0.04</v>
      </c>
      <c r="J138">
        <v>0.04</v>
      </c>
      <c r="K138">
        <v>0.02</v>
      </c>
      <c r="L138">
        <v>8.7999999999999995E-2</v>
      </c>
      <c r="M138">
        <v>0.02</v>
      </c>
      <c r="N138">
        <v>6.5170000000000006E-2</v>
      </c>
    </row>
    <row r="139" spans="1:14" x14ac:dyDescent="0.2">
      <c r="A139">
        <v>137</v>
      </c>
      <c r="B139">
        <v>0.34</v>
      </c>
      <c r="C139">
        <v>0.18</v>
      </c>
      <c r="D139">
        <v>0.24</v>
      </c>
      <c r="E139">
        <v>0.12</v>
      </c>
      <c r="F139">
        <v>0.14000000000000001</v>
      </c>
      <c r="G139">
        <v>-2.0000000000000018E-2</v>
      </c>
      <c r="H139">
        <v>0.12</v>
      </c>
      <c r="I139">
        <v>0.04</v>
      </c>
      <c r="J139">
        <v>7.0000000000000007E-2</v>
      </c>
      <c r="K139">
        <v>0.05</v>
      </c>
      <c r="L139">
        <v>0.105</v>
      </c>
      <c r="M139">
        <v>0.03</v>
      </c>
      <c r="N139">
        <v>8.4900000000000003E-2</v>
      </c>
    </row>
    <row r="140" spans="1:14" x14ac:dyDescent="0.2">
      <c r="A140">
        <v>138</v>
      </c>
      <c r="B140">
        <v>0.34</v>
      </c>
      <c r="C140">
        <v>0.18</v>
      </c>
      <c r="D140">
        <v>0.25</v>
      </c>
      <c r="E140">
        <v>0.13</v>
      </c>
      <c r="F140">
        <v>0.11</v>
      </c>
      <c r="G140">
        <v>-1.0000000000000009E-2</v>
      </c>
      <c r="H140">
        <v>0.115</v>
      </c>
      <c r="I140">
        <v>0.05</v>
      </c>
      <c r="J140">
        <v>7.0000000000000007E-2</v>
      </c>
      <c r="K140">
        <v>0.03</v>
      </c>
      <c r="L140">
        <v>8.4000000000000005E-2</v>
      </c>
      <c r="M140">
        <v>0.04</v>
      </c>
      <c r="N140">
        <v>7.8340000000000007E-2</v>
      </c>
    </row>
    <row r="141" spans="1:14" x14ac:dyDescent="0.2">
      <c r="A141">
        <v>139</v>
      </c>
      <c r="B141">
        <v>0.3</v>
      </c>
      <c r="C141">
        <v>0.16</v>
      </c>
      <c r="D141">
        <v>0.25</v>
      </c>
      <c r="E141">
        <v>0.14000000000000001</v>
      </c>
      <c r="F141">
        <v>0.1</v>
      </c>
      <c r="G141">
        <v>5.0000000000000044E-2</v>
      </c>
      <c r="H141">
        <v>9.1999999999999998E-2</v>
      </c>
      <c r="I141">
        <v>0.03</v>
      </c>
      <c r="J141">
        <v>0.05</v>
      </c>
      <c r="K141">
        <v>0.03</v>
      </c>
      <c r="L141">
        <v>7.3999999999999996E-2</v>
      </c>
      <c r="M141">
        <v>0.02</v>
      </c>
      <c r="N141">
        <v>5.7499999999999996E-2</v>
      </c>
    </row>
    <row r="142" spans="1:14" x14ac:dyDescent="0.2">
      <c r="A142">
        <v>140</v>
      </c>
      <c r="B142">
        <v>0.31</v>
      </c>
      <c r="C142">
        <v>0.2</v>
      </c>
      <c r="D142">
        <v>0.23</v>
      </c>
      <c r="E142">
        <v>0.15</v>
      </c>
      <c r="F142">
        <v>0.1</v>
      </c>
      <c r="G142">
        <v>1.0000000000000009E-2</v>
      </c>
      <c r="H142">
        <v>7.1999999999999995E-2</v>
      </c>
      <c r="I142">
        <v>0.06</v>
      </c>
      <c r="J142">
        <v>0.1</v>
      </c>
      <c r="K142">
        <v>0.02</v>
      </c>
      <c r="L142">
        <v>7.0999999999999994E-2</v>
      </c>
      <c r="M142">
        <v>0.03</v>
      </c>
      <c r="N142">
        <v>6.7720000000000002E-2</v>
      </c>
    </row>
    <row r="143" spans="1:14" x14ac:dyDescent="0.2">
      <c r="A143">
        <v>141</v>
      </c>
      <c r="B143">
        <v>0.35</v>
      </c>
      <c r="C143">
        <v>0.2</v>
      </c>
      <c r="D143">
        <v>0.2</v>
      </c>
      <c r="E143">
        <v>0.1</v>
      </c>
      <c r="F143">
        <v>0.1</v>
      </c>
      <c r="G143">
        <v>5.0000000000000044E-2</v>
      </c>
      <c r="H143">
        <v>0.107</v>
      </c>
      <c r="I143">
        <v>7.0000000000000007E-2</v>
      </c>
      <c r="J143">
        <v>0.09</v>
      </c>
      <c r="K143">
        <v>0.06</v>
      </c>
      <c r="L143">
        <v>7.1999999999999995E-2</v>
      </c>
      <c r="M143">
        <v>0.03</v>
      </c>
      <c r="N143">
        <v>8.4150000000000003E-2</v>
      </c>
    </row>
    <row r="144" spans="1:14" x14ac:dyDescent="0.2">
      <c r="A144">
        <v>142</v>
      </c>
      <c r="B144">
        <v>0.32</v>
      </c>
      <c r="C144">
        <v>0.17</v>
      </c>
      <c r="D144">
        <v>0.2</v>
      </c>
      <c r="E144">
        <v>0.15</v>
      </c>
      <c r="F144">
        <v>0.1</v>
      </c>
      <c r="G144">
        <v>6.0000000000000053E-2</v>
      </c>
      <c r="H144">
        <v>9.1999999999999998E-2</v>
      </c>
      <c r="I144">
        <v>0.06</v>
      </c>
      <c r="J144">
        <v>0.08</v>
      </c>
      <c r="K144">
        <v>0.05</v>
      </c>
      <c r="L144">
        <v>0.06</v>
      </c>
      <c r="M144">
        <v>0.02</v>
      </c>
      <c r="N144">
        <v>7.0340000000000014E-2</v>
      </c>
    </row>
    <row r="145" spans="1:14" x14ac:dyDescent="0.2">
      <c r="A145">
        <v>143</v>
      </c>
      <c r="B145">
        <v>0.32</v>
      </c>
      <c r="C145">
        <v>0.15</v>
      </c>
      <c r="D145">
        <v>0.2</v>
      </c>
      <c r="E145">
        <v>0.15</v>
      </c>
      <c r="F145">
        <v>0.15</v>
      </c>
      <c r="G145">
        <v>3.0000000000000027E-2</v>
      </c>
      <c r="H145">
        <v>0.09</v>
      </c>
      <c r="I145">
        <v>0.03</v>
      </c>
      <c r="J145">
        <v>0.05</v>
      </c>
      <c r="K145">
        <v>0.05</v>
      </c>
      <c r="L145">
        <v>5.8000000000000003E-2</v>
      </c>
      <c r="M145">
        <v>0.03</v>
      </c>
      <c r="N145">
        <v>6.0399999999999995E-2</v>
      </c>
    </row>
    <row r="146" spans="1:14" x14ac:dyDescent="0.2">
      <c r="A146">
        <v>144</v>
      </c>
      <c r="B146">
        <v>0.32</v>
      </c>
      <c r="C146">
        <v>0.18</v>
      </c>
      <c r="D146">
        <v>0.2</v>
      </c>
      <c r="E146">
        <v>0.11</v>
      </c>
      <c r="F146">
        <v>0.13</v>
      </c>
      <c r="G146">
        <v>6.0000000000000053E-2</v>
      </c>
      <c r="H146">
        <v>0.11600000000000001</v>
      </c>
      <c r="I146">
        <v>0.04</v>
      </c>
      <c r="J146">
        <v>0.1</v>
      </c>
      <c r="K146">
        <v>0.05</v>
      </c>
      <c r="L146">
        <v>6.0999999999999999E-2</v>
      </c>
      <c r="M146">
        <v>0.03</v>
      </c>
      <c r="N146">
        <v>7.955000000000001E-2</v>
      </c>
    </row>
    <row r="147" spans="1:14" x14ac:dyDescent="0.2">
      <c r="A147">
        <v>145</v>
      </c>
      <c r="B147">
        <v>0.33</v>
      </c>
      <c r="C147">
        <v>0.19</v>
      </c>
      <c r="D147">
        <v>0.2</v>
      </c>
      <c r="E147">
        <v>0.14000000000000001</v>
      </c>
      <c r="F147">
        <v>0.11</v>
      </c>
      <c r="G147">
        <v>3.0000000000000027E-2</v>
      </c>
      <c r="H147">
        <v>6.8000000000000005E-2</v>
      </c>
      <c r="I147">
        <v>0.05</v>
      </c>
      <c r="J147">
        <v>0.1</v>
      </c>
      <c r="K147">
        <v>0.04</v>
      </c>
      <c r="L147">
        <v>7.5999999999999998E-2</v>
      </c>
      <c r="M147">
        <v>0.03</v>
      </c>
      <c r="N147">
        <v>6.6800000000000012E-2</v>
      </c>
    </row>
    <row r="148" spans="1:14" x14ac:dyDescent="0.2">
      <c r="A148">
        <v>146</v>
      </c>
      <c r="B148">
        <v>0.31</v>
      </c>
      <c r="C148">
        <v>0.17</v>
      </c>
      <c r="D148">
        <v>0.22</v>
      </c>
      <c r="E148">
        <v>0.13</v>
      </c>
      <c r="F148">
        <v>0.14000000000000001</v>
      </c>
      <c r="G148">
        <v>3.0000000000000027E-2</v>
      </c>
      <c r="H148">
        <v>0.11600000000000001</v>
      </c>
      <c r="I148">
        <v>0.05</v>
      </c>
      <c r="J148">
        <v>0.08</v>
      </c>
      <c r="K148">
        <v>0.03</v>
      </c>
      <c r="L148">
        <v>5.8000000000000003E-2</v>
      </c>
      <c r="M148">
        <v>0.02</v>
      </c>
      <c r="N148">
        <v>7.468000000000001E-2</v>
      </c>
    </row>
    <row r="149" spans="1:14" x14ac:dyDescent="0.2">
      <c r="A149">
        <v>147</v>
      </c>
      <c r="B149">
        <v>0.31</v>
      </c>
      <c r="C149">
        <v>0.17</v>
      </c>
      <c r="D149">
        <v>0.25</v>
      </c>
      <c r="E149">
        <v>0.15</v>
      </c>
      <c r="F149">
        <v>0.15</v>
      </c>
      <c r="G149">
        <v>-3.0000000000000027E-2</v>
      </c>
      <c r="H149">
        <v>0.124</v>
      </c>
      <c r="I149">
        <v>0.06</v>
      </c>
      <c r="J149">
        <v>0.09</v>
      </c>
      <c r="K149">
        <v>0.04</v>
      </c>
      <c r="L149">
        <v>5.8999999999999997E-2</v>
      </c>
      <c r="M149">
        <v>0.03</v>
      </c>
      <c r="N149">
        <v>8.5090000000000013E-2</v>
      </c>
    </row>
    <row r="150" spans="1:14" x14ac:dyDescent="0.2">
      <c r="A150">
        <v>148</v>
      </c>
      <c r="B150">
        <v>0.32</v>
      </c>
      <c r="C150">
        <v>0.2</v>
      </c>
      <c r="D150">
        <v>0.22</v>
      </c>
      <c r="E150">
        <v>0.14000000000000001</v>
      </c>
      <c r="F150">
        <v>0.12</v>
      </c>
      <c r="G150">
        <v>0</v>
      </c>
      <c r="H150">
        <v>0.09</v>
      </c>
      <c r="I150">
        <v>0.05</v>
      </c>
      <c r="J150">
        <v>0.1</v>
      </c>
      <c r="K150">
        <v>0.05</v>
      </c>
      <c r="L150">
        <v>0.10100000000000001</v>
      </c>
      <c r="M150">
        <v>0.02</v>
      </c>
      <c r="N150">
        <v>7.9920000000000019E-2</v>
      </c>
    </row>
    <row r="151" spans="1:14" x14ac:dyDescent="0.2">
      <c r="A151">
        <v>149</v>
      </c>
      <c r="B151">
        <v>0.32</v>
      </c>
      <c r="C151">
        <v>0.17</v>
      </c>
      <c r="D151">
        <v>0.21</v>
      </c>
      <c r="E151">
        <v>0.14000000000000001</v>
      </c>
      <c r="F151">
        <v>0.15</v>
      </c>
      <c r="G151">
        <v>1.0000000000000009E-2</v>
      </c>
      <c r="H151">
        <v>0.112</v>
      </c>
      <c r="I151">
        <v>0.04</v>
      </c>
      <c r="J151">
        <v>0.1</v>
      </c>
      <c r="K151">
        <v>0.03</v>
      </c>
      <c r="L151">
        <v>8.7999999999999995E-2</v>
      </c>
      <c r="M151">
        <v>0.03</v>
      </c>
      <c r="N151">
        <v>8.1339999999999996E-2</v>
      </c>
    </row>
    <row r="152" spans="1:14" x14ac:dyDescent="0.2">
      <c r="A152">
        <v>150</v>
      </c>
      <c r="B152">
        <v>0.33</v>
      </c>
      <c r="C152">
        <v>0.2</v>
      </c>
      <c r="D152">
        <v>0.2</v>
      </c>
      <c r="E152">
        <v>0.15</v>
      </c>
      <c r="F152">
        <v>0.12</v>
      </c>
      <c r="G152">
        <v>0</v>
      </c>
      <c r="H152">
        <v>9.9000000000000005E-2</v>
      </c>
      <c r="I152">
        <v>7.0000000000000007E-2</v>
      </c>
      <c r="J152">
        <v>0.04</v>
      </c>
      <c r="K152">
        <v>0.06</v>
      </c>
      <c r="L152">
        <v>6.6000000000000003E-2</v>
      </c>
      <c r="M152">
        <v>0.03</v>
      </c>
      <c r="N152">
        <v>7.1590000000000001E-2</v>
      </c>
    </row>
    <row r="153" spans="1:14" x14ac:dyDescent="0.2">
      <c r="A153">
        <v>151</v>
      </c>
      <c r="B153">
        <v>0.35</v>
      </c>
      <c r="C153">
        <v>0.17</v>
      </c>
      <c r="D153">
        <v>0.2</v>
      </c>
      <c r="E153">
        <v>0.1</v>
      </c>
      <c r="F153">
        <v>0.11</v>
      </c>
      <c r="G153">
        <v>7.0000000000000062E-2</v>
      </c>
      <c r="H153">
        <v>9.4E-2</v>
      </c>
      <c r="I153">
        <v>0.04</v>
      </c>
      <c r="J153">
        <v>7.0000000000000007E-2</v>
      </c>
      <c r="K153">
        <v>0.02</v>
      </c>
      <c r="L153">
        <v>0.105</v>
      </c>
      <c r="M153">
        <v>0.02</v>
      </c>
      <c r="N153">
        <v>6.8650000000000003E-2</v>
      </c>
    </row>
    <row r="154" spans="1:14" x14ac:dyDescent="0.2">
      <c r="A154">
        <v>152</v>
      </c>
      <c r="B154">
        <v>0.34</v>
      </c>
      <c r="C154">
        <v>0.19</v>
      </c>
      <c r="D154">
        <v>0.23</v>
      </c>
      <c r="E154">
        <v>0.14000000000000001</v>
      </c>
      <c r="F154">
        <v>0.12</v>
      </c>
      <c r="G154">
        <v>-2.0000000000000018E-2</v>
      </c>
      <c r="H154">
        <v>7.6999999999999999E-2</v>
      </c>
      <c r="I154">
        <v>0.03</v>
      </c>
      <c r="J154">
        <v>0.09</v>
      </c>
      <c r="K154">
        <v>0.06</v>
      </c>
      <c r="L154">
        <v>8.1000000000000003E-2</v>
      </c>
      <c r="M154">
        <v>0.04</v>
      </c>
      <c r="N154">
        <v>6.9900000000000018E-2</v>
      </c>
    </row>
    <row r="155" spans="1:14" x14ac:dyDescent="0.2">
      <c r="A155">
        <v>153</v>
      </c>
      <c r="B155">
        <v>0.34</v>
      </c>
      <c r="C155">
        <v>0.16</v>
      </c>
      <c r="D155">
        <v>0.25</v>
      </c>
      <c r="E155">
        <v>0.12</v>
      </c>
      <c r="F155">
        <v>0.12</v>
      </c>
      <c r="G155">
        <v>1.0000000000000009E-2</v>
      </c>
      <c r="H155">
        <v>0.11</v>
      </c>
      <c r="I155">
        <v>0.04</v>
      </c>
      <c r="J155">
        <v>0.05</v>
      </c>
      <c r="K155">
        <v>0.05</v>
      </c>
      <c r="L155">
        <v>0.08</v>
      </c>
      <c r="M155">
        <v>0.03</v>
      </c>
      <c r="N155">
        <v>7.22E-2</v>
      </c>
    </row>
    <row r="156" spans="1:14" x14ac:dyDescent="0.2">
      <c r="A156">
        <v>154</v>
      </c>
      <c r="B156">
        <v>0.33</v>
      </c>
      <c r="C156">
        <v>0.18</v>
      </c>
      <c r="D156">
        <v>0.21</v>
      </c>
      <c r="E156">
        <v>0.14000000000000001</v>
      </c>
      <c r="F156">
        <v>0.14000000000000001</v>
      </c>
      <c r="G156">
        <v>0</v>
      </c>
      <c r="H156">
        <v>0.121</v>
      </c>
      <c r="I156">
        <v>0.04</v>
      </c>
      <c r="J156">
        <v>0.1</v>
      </c>
      <c r="K156">
        <v>0.06</v>
      </c>
      <c r="L156">
        <v>0.105</v>
      </c>
      <c r="M156">
        <v>0.02</v>
      </c>
      <c r="N156">
        <v>9.1230000000000006E-2</v>
      </c>
    </row>
    <row r="157" spans="1:14" x14ac:dyDescent="0.2">
      <c r="A157">
        <v>155</v>
      </c>
      <c r="B157">
        <v>0.31</v>
      </c>
      <c r="C157">
        <v>0.18</v>
      </c>
      <c r="D157">
        <v>0.2</v>
      </c>
      <c r="E157">
        <v>0.12</v>
      </c>
      <c r="F157">
        <v>0.15</v>
      </c>
      <c r="G157">
        <v>4.0000000000000036E-2</v>
      </c>
      <c r="H157">
        <v>0.106</v>
      </c>
      <c r="I157">
        <v>0.05</v>
      </c>
      <c r="J157">
        <v>0.09</v>
      </c>
      <c r="K157">
        <v>0.06</v>
      </c>
      <c r="L157">
        <v>8.2000000000000003E-2</v>
      </c>
      <c r="M157">
        <v>0.02</v>
      </c>
      <c r="N157">
        <v>8.0159999999999995E-2</v>
      </c>
    </row>
    <row r="158" spans="1:14" x14ac:dyDescent="0.2">
      <c r="A158">
        <v>156</v>
      </c>
      <c r="B158">
        <v>0.31</v>
      </c>
      <c r="C158">
        <v>0.17</v>
      </c>
      <c r="D158">
        <v>0.24</v>
      </c>
      <c r="E158">
        <v>0.13</v>
      </c>
      <c r="F158">
        <v>0.13</v>
      </c>
      <c r="G158">
        <v>2.0000000000000018E-2</v>
      </c>
      <c r="H158">
        <v>9.0999999999999998E-2</v>
      </c>
      <c r="I158">
        <v>0.06</v>
      </c>
      <c r="J158">
        <v>0.08</v>
      </c>
      <c r="K158">
        <v>0.06</v>
      </c>
      <c r="L158">
        <v>7.4999999999999997E-2</v>
      </c>
      <c r="M158">
        <v>0.03</v>
      </c>
      <c r="N158">
        <v>7.5759999999999994E-2</v>
      </c>
    </row>
    <row r="159" spans="1:14" x14ac:dyDescent="0.2">
      <c r="A159">
        <v>157</v>
      </c>
      <c r="B159">
        <v>0.32</v>
      </c>
      <c r="C159">
        <v>0.18</v>
      </c>
      <c r="D159">
        <v>0.24</v>
      </c>
      <c r="E159">
        <v>0.13</v>
      </c>
      <c r="F159">
        <v>0.12</v>
      </c>
      <c r="G159">
        <v>1.0000000000000009E-2</v>
      </c>
      <c r="H159">
        <v>0.111</v>
      </c>
      <c r="I159">
        <v>0.06</v>
      </c>
      <c r="J159">
        <v>0.05</v>
      </c>
      <c r="K159">
        <v>0.05</v>
      </c>
      <c r="L159">
        <v>9.7000000000000003E-2</v>
      </c>
      <c r="M159">
        <v>0.02</v>
      </c>
      <c r="N159">
        <v>7.6660000000000006E-2</v>
      </c>
    </row>
    <row r="160" spans="1:14" x14ac:dyDescent="0.2">
      <c r="A160">
        <v>158</v>
      </c>
      <c r="B160">
        <v>0.35</v>
      </c>
      <c r="C160">
        <v>0.19</v>
      </c>
      <c r="D160">
        <v>0.25</v>
      </c>
      <c r="E160">
        <v>0.11</v>
      </c>
      <c r="F160">
        <v>0.1</v>
      </c>
      <c r="G160">
        <v>0</v>
      </c>
      <c r="H160">
        <v>8.3000000000000004E-2</v>
      </c>
      <c r="I160">
        <v>0.04</v>
      </c>
      <c r="J160">
        <v>0.08</v>
      </c>
      <c r="K160">
        <v>0.05</v>
      </c>
      <c r="L160">
        <v>6.9000000000000006E-2</v>
      </c>
      <c r="M160">
        <v>0.02</v>
      </c>
      <c r="N160">
        <v>6.905E-2</v>
      </c>
    </row>
    <row r="161" spans="1:14" x14ac:dyDescent="0.2">
      <c r="A161">
        <v>159</v>
      </c>
      <c r="B161">
        <v>0.35</v>
      </c>
      <c r="C161">
        <v>0.15</v>
      </c>
      <c r="D161">
        <v>0.24</v>
      </c>
      <c r="E161">
        <v>0.11</v>
      </c>
      <c r="F161">
        <v>0.1</v>
      </c>
      <c r="G161">
        <v>5.0000000000000044E-2</v>
      </c>
      <c r="H161">
        <v>0.09</v>
      </c>
      <c r="I161">
        <v>0.06</v>
      </c>
      <c r="J161">
        <v>0.06</v>
      </c>
      <c r="K161">
        <v>0.06</v>
      </c>
      <c r="L161">
        <v>8.7999999999999995E-2</v>
      </c>
      <c r="M161">
        <v>0.02</v>
      </c>
      <c r="N161">
        <v>7.1300000000000002E-2</v>
      </c>
    </row>
    <row r="162" spans="1:14" x14ac:dyDescent="0.2">
      <c r="A162">
        <v>160</v>
      </c>
      <c r="B162">
        <v>0.31</v>
      </c>
      <c r="C162">
        <v>0.19</v>
      </c>
      <c r="D162">
        <v>0.2</v>
      </c>
      <c r="E162">
        <v>0.12</v>
      </c>
      <c r="F162">
        <v>0.1</v>
      </c>
      <c r="G162">
        <v>8.0000000000000071E-2</v>
      </c>
      <c r="H162">
        <v>0.108</v>
      </c>
      <c r="I162">
        <v>0.06</v>
      </c>
      <c r="J162">
        <v>0.09</v>
      </c>
      <c r="K162">
        <v>0.05</v>
      </c>
      <c r="L162">
        <v>0.06</v>
      </c>
      <c r="M162">
        <v>0.03</v>
      </c>
      <c r="N162">
        <v>7.7280000000000015E-2</v>
      </c>
    </row>
    <row r="163" spans="1:14" x14ac:dyDescent="0.2">
      <c r="A163">
        <v>161</v>
      </c>
      <c r="B163">
        <v>0.35</v>
      </c>
      <c r="C163">
        <v>0.19</v>
      </c>
      <c r="D163">
        <v>0.2</v>
      </c>
      <c r="E163">
        <v>0.12</v>
      </c>
      <c r="F163">
        <v>0.11</v>
      </c>
      <c r="G163">
        <v>3.0000000000000027E-2</v>
      </c>
      <c r="H163">
        <v>9.0999999999999998E-2</v>
      </c>
      <c r="I163">
        <v>0.03</v>
      </c>
      <c r="J163">
        <v>0.08</v>
      </c>
      <c r="K163">
        <v>0.05</v>
      </c>
      <c r="L163">
        <v>7.0000000000000007E-2</v>
      </c>
      <c r="M163">
        <v>0.03</v>
      </c>
      <c r="N163">
        <v>6.8150000000000002E-2</v>
      </c>
    </row>
    <row r="164" spans="1:14" x14ac:dyDescent="0.2">
      <c r="A164">
        <v>162</v>
      </c>
      <c r="B164">
        <v>0.34</v>
      </c>
      <c r="C164">
        <v>0.19</v>
      </c>
      <c r="D164">
        <v>0.25</v>
      </c>
      <c r="E164">
        <v>0.12</v>
      </c>
      <c r="F164">
        <v>0.12</v>
      </c>
      <c r="G164">
        <v>-2.0000000000000018E-2</v>
      </c>
      <c r="H164">
        <v>0.105</v>
      </c>
      <c r="I164">
        <v>0.03</v>
      </c>
      <c r="J164">
        <v>7.0000000000000007E-2</v>
      </c>
      <c r="K164">
        <v>0.04</v>
      </c>
      <c r="L164">
        <v>6.3E-2</v>
      </c>
      <c r="M164">
        <v>0.03</v>
      </c>
      <c r="N164">
        <v>7.0660000000000001E-2</v>
      </c>
    </row>
    <row r="165" spans="1:14" x14ac:dyDescent="0.2">
      <c r="A165">
        <v>163</v>
      </c>
      <c r="B165">
        <v>0.33</v>
      </c>
      <c r="C165">
        <v>0.16</v>
      </c>
      <c r="D165">
        <v>0.2</v>
      </c>
      <c r="E165">
        <v>0.14000000000000001</v>
      </c>
      <c r="F165">
        <v>0.12</v>
      </c>
      <c r="G165">
        <v>5.0000000000000044E-2</v>
      </c>
      <c r="H165">
        <v>0.10199999999999999</v>
      </c>
      <c r="I165">
        <v>0.05</v>
      </c>
      <c r="J165">
        <v>0.06</v>
      </c>
      <c r="K165">
        <v>0.05</v>
      </c>
      <c r="L165">
        <v>7.0000000000000007E-2</v>
      </c>
      <c r="M165">
        <v>0.04</v>
      </c>
      <c r="N165">
        <v>7.1059999999999998E-2</v>
      </c>
    </row>
    <row r="166" spans="1:14" x14ac:dyDescent="0.2">
      <c r="A166">
        <v>164</v>
      </c>
      <c r="B166">
        <v>0.32</v>
      </c>
      <c r="C166">
        <v>0.19</v>
      </c>
      <c r="D166">
        <v>0.25</v>
      </c>
      <c r="E166">
        <v>0.11</v>
      </c>
      <c r="F166">
        <v>0.15</v>
      </c>
      <c r="G166">
        <v>-2.0000000000000018E-2</v>
      </c>
      <c r="H166">
        <v>0.106</v>
      </c>
      <c r="I166">
        <v>0.05</v>
      </c>
      <c r="J166">
        <v>0.06</v>
      </c>
      <c r="K166">
        <v>0.03</v>
      </c>
      <c r="L166">
        <v>6.2E-2</v>
      </c>
      <c r="M166">
        <v>0.04</v>
      </c>
      <c r="N166">
        <v>7.0220000000000005E-2</v>
      </c>
    </row>
    <row r="167" spans="1:14" x14ac:dyDescent="0.2">
      <c r="A167">
        <v>165</v>
      </c>
      <c r="B167">
        <v>0.33</v>
      </c>
      <c r="C167">
        <v>0.15</v>
      </c>
      <c r="D167">
        <v>0.2</v>
      </c>
      <c r="E167">
        <v>0.14000000000000001</v>
      </c>
      <c r="F167">
        <v>0.11</v>
      </c>
      <c r="G167">
        <v>7.0000000000000062E-2</v>
      </c>
      <c r="H167">
        <v>9.1999999999999998E-2</v>
      </c>
      <c r="I167">
        <v>0.04</v>
      </c>
      <c r="J167">
        <v>0.1</v>
      </c>
      <c r="K167">
        <v>0.06</v>
      </c>
      <c r="L167">
        <v>9.7000000000000003E-2</v>
      </c>
      <c r="M167">
        <v>0.04</v>
      </c>
      <c r="N167">
        <v>7.8230000000000008E-2</v>
      </c>
    </row>
    <row r="168" spans="1:14" x14ac:dyDescent="0.2">
      <c r="A168">
        <v>166</v>
      </c>
      <c r="B168">
        <v>0.35</v>
      </c>
      <c r="C168">
        <v>0.15</v>
      </c>
      <c r="D168">
        <v>0.22</v>
      </c>
      <c r="E168">
        <v>0.13</v>
      </c>
      <c r="F168">
        <v>0.15</v>
      </c>
      <c r="G168">
        <v>0</v>
      </c>
      <c r="H168">
        <v>7.4999999999999997E-2</v>
      </c>
      <c r="I168">
        <v>0.04</v>
      </c>
      <c r="J168">
        <v>7.0000000000000007E-2</v>
      </c>
      <c r="K168">
        <v>0.02</v>
      </c>
      <c r="L168">
        <v>8.5000000000000006E-2</v>
      </c>
      <c r="M168">
        <v>0.04</v>
      </c>
      <c r="N168">
        <v>6.3E-2</v>
      </c>
    </row>
    <row r="169" spans="1:14" x14ac:dyDescent="0.2">
      <c r="A169">
        <v>167</v>
      </c>
      <c r="B169">
        <v>0.3</v>
      </c>
      <c r="C169">
        <v>0.17</v>
      </c>
      <c r="D169">
        <v>0.22</v>
      </c>
      <c r="E169">
        <v>0.11</v>
      </c>
      <c r="F169">
        <v>0.13</v>
      </c>
      <c r="G169">
        <v>7.0000000000000062E-2</v>
      </c>
      <c r="H169">
        <v>7.6999999999999999E-2</v>
      </c>
      <c r="I169">
        <v>0.04</v>
      </c>
      <c r="J169">
        <v>0.1</v>
      </c>
      <c r="K169">
        <v>0.04</v>
      </c>
      <c r="L169">
        <v>8.3000000000000004E-2</v>
      </c>
      <c r="M169">
        <v>0.04</v>
      </c>
      <c r="N169">
        <v>6.9890000000000008E-2</v>
      </c>
    </row>
    <row r="170" spans="1:14" x14ac:dyDescent="0.2">
      <c r="A170">
        <v>168</v>
      </c>
      <c r="B170">
        <v>0.31</v>
      </c>
      <c r="C170">
        <v>0.2</v>
      </c>
      <c r="D170">
        <v>0.2</v>
      </c>
      <c r="E170">
        <v>0.11</v>
      </c>
      <c r="F170">
        <v>0.12</v>
      </c>
      <c r="G170">
        <v>6.0000000000000053E-2</v>
      </c>
      <c r="H170">
        <v>9.8000000000000004E-2</v>
      </c>
      <c r="I170">
        <v>0.06</v>
      </c>
      <c r="J170">
        <v>0.09</v>
      </c>
      <c r="K170">
        <v>0.03</v>
      </c>
      <c r="L170">
        <v>8.1000000000000003E-2</v>
      </c>
      <c r="M170">
        <v>0.02</v>
      </c>
      <c r="N170">
        <v>7.46E-2</v>
      </c>
    </row>
    <row r="171" spans="1:14" x14ac:dyDescent="0.2">
      <c r="A171">
        <v>169</v>
      </c>
      <c r="B171">
        <v>0.33</v>
      </c>
      <c r="C171">
        <v>0.19</v>
      </c>
      <c r="D171">
        <v>0.2</v>
      </c>
      <c r="E171">
        <v>0.15</v>
      </c>
      <c r="F171">
        <v>0.1</v>
      </c>
      <c r="G171">
        <v>3.0000000000000027E-2</v>
      </c>
      <c r="H171">
        <v>0.125</v>
      </c>
      <c r="I171">
        <v>0.04</v>
      </c>
      <c r="J171">
        <v>0.06</v>
      </c>
      <c r="K171">
        <v>0.06</v>
      </c>
      <c r="L171">
        <v>8.7999999999999995E-2</v>
      </c>
      <c r="M171">
        <v>0.04</v>
      </c>
      <c r="N171">
        <v>7.9850000000000004E-2</v>
      </c>
    </row>
    <row r="172" spans="1:14" x14ac:dyDescent="0.2">
      <c r="A172">
        <v>170</v>
      </c>
      <c r="B172">
        <v>0.32</v>
      </c>
      <c r="C172">
        <v>0.18</v>
      </c>
      <c r="D172">
        <v>0.23</v>
      </c>
      <c r="E172">
        <v>0.15</v>
      </c>
      <c r="F172">
        <v>0.13</v>
      </c>
      <c r="G172">
        <v>-1.0000000000000009E-2</v>
      </c>
      <c r="H172">
        <v>0.115</v>
      </c>
      <c r="I172">
        <v>0.03</v>
      </c>
      <c r="J172">
        <v>0.04</v>
      </c>
      <c r="K172">
        <v>0.05</v>
      </c>
      <c r="L172">
        <v>0.08</v>
      </c>
      <c r="M172">
        <v>0.04</v>
      </c>
      <c r="N172">
        <v>6.8900000000000003E-2</v>
      </c>
    </row>
    <row r="173" spans="1:14" x14ac:dyDescent="0.2">
      <c r="A173">
        <v>171</v>
      </c>
      <c r="B173">
        <v>0.3</v>
      </c>
      <c r="C173">
        <v>0.2</v>
      </c>
      <c r="D173">
        <v>0.22</v>
      </c>
      <c r="E173">
        <v>0.11</v>
      </c>
      <c r="F173">
        <v>0.15</v>
      </c>
      <c r="G173">
        <v>2.0000000000000018E-2</v>
      </c>
      <c r="H173">
        <v>7.0000000000000007E-2</v>
      </c>
      <c r="I173">
        <v>0.06</v>
      </c>
      <c r="J173">
        <v>7.0000000000000007E-2</v>
      </c>
      <c r="K173">
        <v>0.04</v>
      </c>
      <c r="L173">
        <v>8.3000000000000004E-2</v>
      </c>
      <c r="M173">
        <v>0.04</v>
      </c>
      <c r="N173">
        <v>6.6049999999999998E-2</v>
      </c>
    </row>
    <row r="174" spans="1:14" x14ac:dyDescent="0.2">
      <c r="A174">
        <v>172</v>
      </c>
      <c r="B174">
        <v>0.34</v>
      </c>
      <c r="C174">
        <v>0.2</v>
      </c>
      <c r="D174">
        <v>0.25</v>
      </c>
      <c r="E174">
        <v>0.15</v>
      </c>
      <c r="F174">
        <v>0.14000000000000001</v>
      </c>
      <c r="G174">
        <v>-8.0000000000000071E-2</v>
      </c>
      <c r="H174">
        <v>8.1000000000000003E-2</v>
      </c>
      <c r="I174">
        <v>7.0000000000000007E-2</v>
      </c>
      <c r="J174">
        <v>0.09</v>
      </c>
      <c r="K174">
        <v>0.03</v>
      </c>
      <c r="L174">
        <v>7.3999999999999996E-2</v>
      </c>
      <c r="M174">
        <v>0.02</v>
      </c>
      <c r="N174">
        <v>7.7300000000000021E-2</v>
      </c>
    </row>
    <row r="175" spans="1:14" x14ac:dyDescent="0.2">
      <c r="A175">
        <v>173</v>
      </c>
      <c r="B175">
        <v>0.32</v>
      </c>
      <c r="C175">
        <v>0.18</v>
      </c>
      <c r="D175">
        <v>0.22</v>
      </c>
      <c r="E175">
        <v>0.11</v>
      </c>
      <c r="F175">
        <v>0.15</v>
      </c>
      <c r="G175">
        <v>2.0000000000000018E-2</v>
      </c>
      <c r="H175">
        <v>6.5000000000000002E-2</v>
      </c>
      <c r="I175">
        <v>0.06</v>
      </c>
      <c r="J175">
        <v>0.08</v>
      </c>
      <c r="K175">
        <v>0.04</v>
      </c>
      <c r="L175">
        <v>7.5999999999999998E-2</v>
      </c>
      <c r="M175">
        <v>0.02</v>
      </c>
      <c r="N175">
        <v>6.54E-2</v>
      </c>
    </row>
    <row r="176" spans="1:14" x14ac:dyDescent="0.2">
      <c r="A176">
        <v>174</v>
      </c>
      <c r="B176">
        <v>0.3</v>
      </c>
      <c r="C176">
        <v>0.17</v>
      </c>
      <c r="D176">
        <v>0.25</v>
      </c>
      <c r="E176">
        <v>0.12</v>
      </c>
      <c r="F176">
        <v>0.1</v>
      </c>
      <c r="G176">
        <v>6.0000000000000053E-2</v>
      </c>
      <c r="H176">
        <v>0.108</v>
      </c>
      <c r="I176">
        <v>0.05</v>
      </c>
      <c r="J176">
        <v>0.09</v>
      </c>
      <c r="K176">
        <v>0.04</v>
      </c>
      <c r="L176">
        <v>7.0000000000000007E-2</v>
      </c>
      <c r="M176">
        <v>0.04</v>
      </c>
      <c r="N176">
        <v>7.7600000000000002E-2</v>
      </c>
    </row>
    <row r="177" spans="1:14" x14ac:dyDescent="0.2">
      <c r="A177">
        <v>175</v>
      </c>
      <c r="B177">
        <v>0.32</v>
      </c>
      <c r="C177">
        <v>0.18</v>
      </c>
      <c r="D177">
        <v>0.23</v>
      </c>
      <c r="E177">
        <v>0.1</v>
      </c>
      <c r="F177">
        <v>0.13</v>
      </c>
      <c r="G177">
        <v>4.0000000000000036E-2</v>
      </c>
      <c r="H177">
        <v>8.2000000000000003E-2</v>
      </c>
      <c r="I177">
        <v>0.04</v>
      </c>
      <c r="J177">
        <v>0.08</v>
      </c>
      <c r="K177">
        <v>0.05</v>
      </c>
      <c r="L177">
        <v>7.3999999999999996E-2</v>
      </c>
      <c r="M177">
        <v>0.03</v>
      </c>
      <c r="N177">
        <v>6.7660000000000012E-2</v>
      </c>
    </row>
    <row r="178" spans="1:14" x14ac:dyDescent="0.2">
      <c r="A178">
        <v>176</v>
      </c>
      <c r="B178">
        <v>0.35</v>
      </c>
      <c r="C178">
        <v>0.15</v>
      </c>
      <c r="D178">
        <v>0.24</v>
      </c>
      <c r="E178">
        <v>0.11</v>
      </c>
      <c r="F178">
        <v>0.13</v>
      </c>
      <c r="G178">
        <v>2.0000000000000018E-2</v>
      </c>
      <c r="H178">
        <v>0.124</v>
      </c>
      <c r="I178">
        <v>0.03</v>
      </c>
      <c r="J178">
        <v>0.08</v>
      </c>
      <c r="K178">
        <v>0.03</v>
      </c>
      <c r="L178">
        <v>8.5000000000000006E-2</v>
      </c>
      <c r="M178">
        <v>0.02</v>
      </c>
      <c r="N178">
        <v>8.1849999999999992E-2</v>
      </c>
    </row>
    <row r="179" spans="1:14" x14ac:dyDescent="0.2">
      <c r="A179">
        <v>177</v>
      </c>
      <c r="B179">
        <v>0.35</v>
      </c>
      <c r="C179">
        <v>0.18</v>
      </c>
      <c r="D179">
        <v>0.23</v>
      </c>
      <c r="E179">
        <v>0.15</v>
      </c>
      <c r="F179">
        <v>0.14000000000000001</v>
      </c>
      <c r="G179">
        <v>-5.0000000000000044E-2</v>
      </c>
      <c r="H179">
        <v>9.0999999999999998E-2</v>
      </c>
      <c r="I179">
        <v>0.05</v>
      </c>
      <c r="J179">
        <v>0.05</v>
      </c>
      <c r="K179">
        <v>0.06</v>
      </c>
      <c r="L179">
        <v>7.2999999999999995E-2</v>
      </c>
      <c r="M179">
        <v>0.03</v>
      </c>
      <c r="N179">
        <v>7.0069999999999993E-2</v>
      </c>
    </row>
    <row r="180" spans="1:14" x14ac:dyDescent="0.2">
      <c r="A180">
        <v>178</v>
      </c>
      <c r="B180">
        <v>0.33</v>
      </c>
      <c r="C180">
        <v>0.16</v>
      </c>
      <c r="D180">
        <v>0.22</v>
      </c>
      <c r="E180">
        <v>0.11</v>
      </c>
      <c r="F180">
        <v>0.15</v>
      </c>
      <c r="G180">
        <v>3.0000000000000027E-2</v>
      </c>
      <c r="H180">
        <v>0.123</v>
      </c>
      <c r="I180">
        <v>7.0000000000000007E-2</v>
      </c>
      <c r="J180">
        <v>0.09</v>
      </c>
      <c r="K180">
        <v>0.06</v>
      </c>
      <c r="L180">
        <v>7.1999999999999995E-2</v>
      </c>
      <c r="M180">
        <v>0.04</v>
      </c>
      <c r="N180">
        <v>9.0190000000000006E-2</v>
      </c>
    </row>
    <row r="181" spans="1:14" x14ac:dyDescent="0.2">
      <c r="A181">
        <v>179</v>
      </c>
      <c r="B181">
        <v>0.34</v>
      </c>
      <c r="C181">
        <v>0.19</v>
      </c>
      <c r="D181">
        <v>0.24</v>
      </c>
      <c r="E181">
        <v>0.12</v>
      </c>
      <c r="F181">
        <v>0.1</v>
      </c>
      <c r="G181">
        <v>1.0000000000000009E-2</v>
      </c>
      <c r="H181">
        <v>0.122</v>
      </c>
      <c r="I181">
        <v>7.0000000000000007E-2</v>
      </c>
      <c r="J181">
        <v>0.09</v>
      </c>
      <c r="K181">
        <v>0.03</v>
      </c>
      <c r="L181">
        <v>0.105</v>
      </c>
      <c r="M181">
        <v>0.04</v>
      </c>
      <c r="N181">
        <v>9.0880000000000002E-2</v>
      </c>
    </row>
    <row r="182" spans="1:14" x14ac:dyDescent="0.2">
      <c r="A182">
        <v>180</v>
      </c>
      <c r="B182">
        <v>0.31</v>
      </c>
      <c r="C182">
        <v>0.19</v>
      </c>
      <c r="D182">
        <v>0.24</v>
      </c>
      <c r="E182">
        <v>0.1</v>
      </c>
      <c r="F182">
        <v>0.1</v>
      </c>
      <c r="G182">
        <v>6.0000000000000053E-2</v>
      </c>
      <c r="H182">
        <v>0.125</v>
      </c>
      <c r="I182">
        <v>0.04</v>
      </c>
      <c r="J182">
        <v>0.04</v>
      </c>
      <c r="K182">
        <v>0.03</v>
      </c>
      <c r="L182">
        <v>0.10199999999999999</v>
      </c>
      <c r="M182">
        <v>0.02</v>
      </c>
      <c r="N182">
        <v>7.035000000000001E-2</v>
      </c>
    </row>
    <row r="183" spans="1:14" x14ac:dyDescent="0.2">
      <c r="A183">
        <v>181</v>
      </c>
      <c r="B183">
        <v>0.32</v>
      </c>
      <c r="C183">
        <v>0.19</v>
      </c>
      <c r="D183">
        <v>0.25</v>
      </c>
      <c r="E183">
        <v>0.15</v>
      </c>
      <c r="F183">
        <v>0.11</v>
      </c>
      <c r="G183">
        <v>-2.0000000000000018E-2</v>
      </c>
      <c r="H183">
        <v>6.7000000000000004E-2</v>
      </c>
      <c r="I183">
        <v>0.05</v>
      </c>
      <c r="J183">
        <v>0.1</v>
      </c>
      <c r="K183">
        <v>0.04</v>
      </c>
      <c r="L183">
        <v>7.3999999999999996E-2</v>
      </c>
      <c r="M183">
        <v>0.04</v>
      </c>
      <c r="N183">
        <v>6.9280000000000008E-2</v>
      </c>
    </row>
    <row r="184" spans="1:14" x14ac:dyDescent="0.2">
      <c r="A184">
        <v>182</v>
      </c>
      <c r="B184">
        <v>0.33</v>
      </c>
      <c r="C184">
        <v>0.17</v>
      </c>
      <c r="D184">
        <v>0.22</v>
      </c>
      <c r="E184">
        <v>0.11</v>
      </c>
      <c r="F184">
        <v>0.13</v>
      </c>
      <c r="G184">
        <v>4.0000000000000036E-2</v>
      </c>
      <c r="H184">
        <v>0.122</v>
      </c>
      <c r="I184">
        <v>7.0000000000000007E-2</v>
      </c>
      <c r="J184">
        <v>0.09</v>
      </c>
      <c r="K184">
        <v>0.06</v>
      </c>
      <c r="L184">
        <v>0.1</v>
      </c>
      <c r="M184">
        <v>0.04</v>
      </c>
      <c r="N184">
        <v>9.3159999999999993E-2</v>
      </c>
    </row>
    <row r="185" spans="1:14" x14ac:dyDescent="0.2">
      <c r="A185">
        <v>183</v>
      </c>
      <c r="B185">
        <v>0.33</v>
      </c>
      <c r="C185">
        <v>0.2</v>
      </c>
      <c r="D185">
        <v>0.23</v>
      </c>
      <c r="E185">
        <v>0.14000000000000001</v>
      </c>
      <c r="F185">
        <v>0.13</v>
      </c>
      <c r="G185">
        <v>-3.0000000000000027E-2</v>
      </c>
      <c r="H185">
        <v>0.114</v>
      </c>
      <c r="I185">
        <v>0.06</v>
      </c>
      <c r="J185">
        <v>0.08</v>
      </c>
      <c r="K185">
        <v>0.06</v>
      </c>
      <c r="L185">
        <v>5.8000000000000003E-2</v>
      </c>
      <c r="M185">
        <v>0.04</v>
      </c>
      <c r="N185">
        <v>8.276E-2</v>
      </c>
    </row>
    <row r="186" spans="1:14" x14ac:dyDescent="0.2">
      <c r="A186">
        <v>184</v>
      </c>
      <c r="B186">
        <v>0.3</v>
      </c>
      <c r="C186">
        <v>0.16</v>
      </c>
      <c r="D186">
        <v>0.2</v>
      </c>
      <c r="E186">
        <v>0.15</v>
      </c>
      <c r="F186">
        <v>0.14000000000000001</v>
      </c>
      <c r="G186">
        <v>5.0000000000000044E-2</v>
      </c>
      <c r="H186">
        <v>9.2999999999999999E-2</v>
      </c>
      <c r="I186">
        <v>0.06</v>
      </c>
      <c r="J186">
        <v>0.1</v>
      </c>
      <c r="K186">
        <v>0.06</v>
      </c>
      <c r="L186">
        <v>0.10299999999999999</v>
      </c>
      <c r="M186">
        <v>0.02</v>
      </c>
      <c r="N186">
        <v>8.1920000000000007E-2</v>
      </c>
    </row>
    <row r="187" spans="1:14" x14ac:dyDescent="0.2">
      <c r="A187">
        <v>185</v>
      </c>
      <c r="B187">
        <v>0.33</v>
      </c>
      <c r="C187">
        <v>0.17</v>
      </c>
      <c r="D187">
        <v>0.22</v>
      </c>
      <c r="E187">
        <v>0.12</v>
      </c>
      <c r="F187">
        <v>0.14000000000000001</v>
      </c>
      <c r="G187">
        <v>2.0000000000000018E-2</v>
      </c>
      <c r="H187">
        <v>7.0999999999999994E-2</v>
      </c>
      <c r="I187">
        <v>7.0000000000000007E-2</v>
      </c>
      <c r="J187">
        <v>0.06</v>
      </c>
      <c r="K187">
        <v>0.03</v>
      </c>
      <c r="L187">
        <v>8.3000000000000004E-2</v>
      </c>
      <c r="M187">
        <v>0.02</v>
      </c>
      <c r="N187">
        <v>6.4149999999999999E-2</v>
      </c>
    </row>
    <row r="188" spans="1:14" x14ac:dyDescent="0.2">
      <c r="A188">
        <v>186</v>
      </c>
      <c r="B188">
        <v>0.3</v>
      </c>
      <c r="C188">
        <v>0.2</v>
      </c>
      <c r="D188">
        <v>0.21</v>
      </c>
      <c r="E188">
        <v>0.1</v>
      </c>
      <c r="F188">
        <v>0.1</v>
      </c>
      <c r="G188">
        <v>9.000000000000008E-2</v>
      </c>
      <c r="H188">
        <v>0.11899999999999999</v>
      </c>
      <c r="I188">
        <v>0.03</v>
      </c>
      <c r="J188">
        <v>0.09</v>
      </c>
      <c r="K188">
        <v>0.06</v>
      </c>
      <c r="L188">
        <v>6.2E-2</v>
      </c>
      <c r="M188">
        <v>0.03</v>
      </c>
      <c r="N188">
        <v>7.5499999999999998E-2</v>
      </c>
    </row>
    <row r="189" spans="1:14" x14ac:dyDescent="0.2">
      <c r="A189">
        <v>187</v>
      </c>
      <c r="B189">
        <v>0.32</v>
      </c>
      <c r="C189">
        <v>0.2</v>
      </c>
      <c r="D189">
        <v>0.21</v>
      </c>
      <c r="E189">
        <v>0.13</v>
      </c>
      <c r="F189">
        <v>0.1</v>
      </c>
      <c r="G189">
        <v>4.0000000000000036E-2</v>
      </c>
      <c r="H189">
        <v>8.5999999999999993E-2</v>
      </c>
      <c r="I189">
        <v>0.05</v>
      </c>
      <c r="J189">
        <v>0.08</v>
      </c>
      <c r="K189">
        <v>0.04</v>
      </c>
      <c r="L189">
        <v>8.3000000000000004E-2</v>
      </c>
      <c r="M189">
        <v>0.03</v>
      </c>
      <c r="N189">
        <v>6.9019999999999998E-2</v>
      </c>
    </row>
    <row r="190" spans="1:14" x14ac:dyDescent="0.2">
      <c r="A190">
        <v>188</v>
      </c>
      <c r="B190">
        <v>0.31</v>
      </c>
      <c r="C190">
        <v>0.19</v>
      </c>
      <c r="D190">
        <v>0.2</v>
      </c>
      <c r="E190">
        <v>0.12</v>
      </c>
      <c r="F190">
        <v>0.1</v>
      </c>
      <c r="G190">
        <v>8.0000000000000071E-2</v>
      </c>
      <c r="H190">
        <v>0.11700000000000001</v>
      </c>
      <c r="I190">
        <v>0.04</v>
      </c>
      <c r="J190">
        <v>7.0000000000000007E-2</v>
      </c>
      <c r="K190">
        <v>0.05</v>
      </c>
      <c r="L190">
        <v>8.7999999999999995E-2</v>
      </c>
      <c r="M190">
        <v>0.04</v>
      </c>
      <c r="N190">
        <v>7.5870000000000021E-2</v>
      </c>
    </row>
    <row r="191" spans="1:14" x14ac:dyDescent="0.2">
      <c r="A191">
        <v>189</v>
      </c>
      <c r="B191">
        <v>0.32</v>
      </c>
      <c r="C191">
        <v>0.2</v>
      </c>
      <c r="D191">
        <v>0.2</v>
      </c>
      <c r="E191">
        <v>0.12</v>
      </c>
      <c r="F191">
        <v>0.15</v>
      </c>
      <c r="G191">
        <v>1.0000000000000009E-2</v>
      </c>
      <c r="H191">
        <v>0.10100000000000001</v>
      </c>
      <c r="I191">
        <v>0.03</v>
      </c>
      <c r="J191">
        <v>0.09</v>
      </c>
      <c r="K191">
        <v>0.06</v>
      </c>
      <c r="L191">
        <v>8.6999999999999994E-2</v>
      </c>
      <c r="M191">
        <v>0.02</v>
      </c>
      <c r="N191">
        <v>7.6770000000000005E-2</v>
      </c>
    </row>
    <row r="192" spans="1:14" x14ac:dyDescent="0.2">
      <c r="A192">
        <v>190</v>
      </c>
      <c r="B192">
        <v>0.31</v>
      </c>
      <c r="C192">
        <v>0.19</v>
      </c>
      <c r="D192">
        <v>0.24</v>
      </c>
      <c r="E192">
        <v>0.13</v>
      </c>
      <c r="F192">
        <v>0.14000000000000001</v>
      </c>
      <c r="G192">
        <v>-1.0000000000000009E-2</v>
      </c>
      <c r="H192">
        <v>9.0999999999999998E-2</v>
      </c>
      <c r="I192">
        <v>0.05</v>
      </c>
      <c r="J192">
        <v>0.09</v>
      </c>
      <c r="K192">
        <v>0.04</v>
      </c>
      <c r="L192">
        <v>9.9000000000000005E-2</v>
      </c>
      <c r="M192">
        <v>0.03</v>
      </c>
      <c r="N192">
        <v>7.8070000000000001E-2</v>
      </c>
    </row>
    <row r="193" spans="1:14" x14ac:dyDescent="0.2">
      <c r="A193">
        <v>191</v>
      </c>
      <c r="B193">
        <v>0.32</v>
      </c>
      <c r="C193">
        <v>0.19</v>
      </c>
      <c r="D193">
        <v>0.22</v>
      </c>
      <c r="E193">
        <v>0.12</v>
      </c>
      <c r="F193">
        <v>0.11</v>
      </c>
      <c r="G193">
        <v>4.0000000000000036E-2</v>
      </c>
      <c r="H193">
        <v>0.121</v>
      </c>
      <c r="I193">
        <v>0.05</v>
      </c>
      <c r="J193">
        <v>0.09</v>
      </c>
      <c r="K193">
        <v>0.06</v>
      </c>
      <c r="L193">
        <v>9.4E-2</v>
      </c>
      <c r="M193">
        <v>0.03</v>
      </c>
      <c r="N193">
        <v>8.6760000000000004E-2</v>
      </c>
    </row>
    <row r="194" spans="1:14" x14ac:dyDescent="0.2">
      <c r="A194">
        <v>192</v>
      </c>
      <c r="B194">
        <v>0.32</v>
      </c>
      <c r="C194">
        <v>0.18</v>
      </c>
      <c r="D194">
        <v>0.2</v>
      </c>
      <c r="E194">
        <v>0.1</v>
      </c>
      <c r="F194">
        <v>0.13</v>
      </c>
      <c r="G194">
        <v>7.0000000000000062E-2</v>
      </c>
      <c r="H194">
        <v>7.6999999999999999E-2</v>
      </c>
      <c r="I194">
        <v>0.03</v>
      </c>
      <c r="J194">
        <v>0.08</v>
      </c>
      <c r="K194">
        <v>0.03</v>
      </c>
      <c r="L194">
        <v>7.1999999999999995E-2</v>
      </c>
      <c r="M194">
        <v>0.03</v>
      </c>
      <c r="N194">
        <v>6.0500000000000005E-2</v>
      </c>
    </row>
    <row r="195" spans="1:14" x14ac:dyDescent="0.2">
      <c r="A195">
        <v>193</v>
      </c>
      <c r="B195">
        <v>0.33</v>
      </c>
      <c r="C195">
        <v>0.15</v>
      </c>
      <c r="D195">
        <v>0.25</v>
      </c>
      <c r="E195">
        <v>0.1</v>
      </c>
      <c r="F195">
        <v>0.11</v>
      </c>
      <c r="G195">
        <v>6.0000000000000053E-2</v>
      </c>
      <c r="H195">
        <v>7.3999999999999996E-2</v>
      </c>
      <c r="I195">
        <v>0.04</v>
      </c>
      <c r="J195">
        <v>0.08</v>
      </c>
      <c r="K195">
        <v>0.02</v>
      </c>
      <c r="L195">
        <v>7.0000000000000007E-2</v>
      </c>
      <c r="M195">
        <v>0.04</v>
      </c>
      <c r="N195">
        <v>6.2520000000000006E-2</v>
      </c>
    </row>
    <row r="196" spans="1:14" x14ac:dyDescent="0.2">
      <c r="A196">
        <v>194</v>
      </c>
      <c r="B196">
        <v>0.32</v>
      </c>
      <c r="C196">
        <v>0.2</v>
      </c>
      <c r="D196">
        <v>0.25</v>
      </c>
      <c r="E196">
        <v>0.14000000000000001</v>
      </c>
      <c r="F196">
        <v>0.11</v>
      </c>
      <c r="G196">
        <v>-2.0000000000000018E-2</v>
      </c>
      <c r="H196">
        <v>0.122</v>
      </c>
      <c r="I196">
        <v>0.04</v>
      </c>
      <c r="J196">
        <v>0.04</v>
      </c>
      <c r="K196">
        <v>0.04</v>
      </c>
      <c r="L196">
        <v>8.6999999999999994E-2</v>
      </c>
      <c r="M196">
        <v>0.02</v>
      </c>
      <c r="N196">
        <v>7.1809999999999999E-2</v>
      </c>
    </row>
    <row r="197" spans="1:14" x14ac:dyDescent="0.2">
      <c r="A197">
        <v>195</v>
      </c>
      <c r="B197">
        <v>0.33</v>
      </c>
      <c r="C197">
        <v>0.19</v>
      </c>
      <c r="D197">
        <v>0.21</v>
      </c>
      <c r="E197">
        <v>0.13</v>
      </c>
      <c r="F197">
        <v>0.15</v>
      </c>
      <c r="G197">
        <v>-1.0000000000000009E-2</v>
      </c>
      <c r="H197">
        <v>9.9000000000000005E-2</v>
      </c>
      <c r="I197">
        <v>0.03</v>
      </c>
      <c r="J197">
        <v>0.1</v>
      </c>
      <c r="K197">
        <v>0.05</v>
      </c>
      <c r="L197">
        <v>6.6000000000000003E-2</v>
      </c>
      <c r="M197">
        <v>0.04</v>
      </c>
      <c r="N197">
        <v>7.537000000000002E-2</v>
      </c>
    </row>
    <row r="198" spans="1:14" x14ac:dyDescent="0.2">
      <c r="A198">
        <v>196</v>
      </c>
      <c r="B198">
        <v>0.31</v>
      </c>
      <c r="C198">
        <v>0.17</v>
      </c>
      <c r="D198">
        <v>0.21</v>
      </c>
      <c r="E198">
        <v>0.1</v>
      </c>
      <c r="F198">
        <v>0.13</v>
      </c>
      <c r="G198">
        <v>8.0000000000000071E-2</v>
      </c>
      <c r="H198">
        <v>0.124</v>
      </c>
      <c r="I198">
        <v>0.03</v>
      </c>
      <c r="J198">
        <v>0.06</v>
      </c>
      <c r="K198">
        <v>0.02</v>
      </c>
      <c r="L198">
        <v>0.10100000000000001</v>
      </c>
      <c r="M198">
        <v>0.04</v>
      </c>
      <c r="N198">
        <v>7.4470000000000008E-2</v>
      </c>
    </row>
    <row r="199" spans="1:14" x14ac:dyDescent="0.2">
      <c r="A199">
        <v>197</v>
      </c>
      <c r="B199">
        <v>0.35</v>
      </c>
      <c r="C199">
        <v>0.16</v>
      </c>
      <c r="D199">
        <v>0.21</v>
      </c>
      <c r="E199">
        <v>0.1</v>
      </c>
      <c r="F199">
        <v>0.14000000000000001</v>
      </c>
      <c r="G199">
        <v>4.0000000000000036E-2</v>
      </c>
      <c r="H199">
        <v>7.5999999999999998E-2</v>
      </c>
      <c r="I199">
        <v>0.05</v>
      </c>
      <c r="J199">
        <v>7.0000000000000007E-2</v>
      </c>
      <c r="K199">
        <v>0.05</v>
      </c>
      <c r="L199">
        <v>0.09</v>
      </c>
      <c r="M199">
        <v>0.03</v>
      </c>
      <c r="N199">
        <v>6.8100000000000008E-2</v>
      </c>
    </row>
    <row r="200" spans="1:14" x14ac:dyDescent="0.2">
      <c r="A200">
        <v>198</v>
      </c>
      <c r="B200">
        <v>0.31</v>
      </c>
      <c r="C200">
        <v>0.18</v>
      </c>
      <c r="D200">
        <v>0.24</v>
      </c>
      <c r="E200">
        <v>0.11</v>
      </c>
      <c r="F200">
        <v>0.13</v>
      </c>
      <c r="G200">
        <v>3.0000000000000027E-2</v>
      </c>
      <c r="H200">
        <v>0.09</v>
      </c>
      <c r="I200">
        <v>0.05</v>
      </c>
      <c r="J200">
        <v>0.05</v>
      </c>
      <c r="K200">
        <v>0.06</v>
      </c>
      <c r="L200">
        <v>8.5000000000000006E-2</v>
      </c>
      <c r="M200">
        <v>0.04</v>
      </c>
      <c r="N200">
        <v>6.7750000000000005E-2</v>
      </c>
    </row>
    <row r="201" spans="1:14" x14ac:dyDescent="0.2">
      <c r="A201">
        <v>199</v>
      </c>
      <c r="B201">
        <v>0.33</v>
      </c>
      <c r="C201">
        <v>0.15</v>
      </c>
      <c r="D201">
        <v>0.22</v>
      </c>
      <c r="E201">
        <v>0.1</v>
      </c>
      <c r="F201">
        <v>0.15</v>
      </c>
      <c r="G201">
        <v>5.0000000000000044E-2</v>
      </c>
      <c r="H201">
        <v>7.6999999999999999E-2</v>
      </c>
      <c r="I201">
        <v>7.0000000000000007E-2</v>
      </c>
      <c r="J201">
        <v>0.05</v>
      </c>
      <c r="K201">
        <v>0.03</v>
      </c>
      <c r="L201">
        <v>5.6000000000000001E-2</v>
      </c>
      <c r="M201">
        <v>0.04</v>
      </c>
      <c r="N201">
        <v>6.0310000000000009E-2</v>
      </c>
    </row>
    <row r="202" spans="1:14" x14ac:dyDescent="0.2">
      <c r="A202">
        <v>200</v>
      </c>
      <c r="B202">
        <v>0.3</v>
      </c>
      <c r="C202">
        <v>0.18</v>
      </c>
      <c r="D202">
        <v>0.24</v>
      </c>
      <c r="E202">
        <v>0.11</v>
      </c>
      <c r="F202">
        <v>0.11</v>
      </c>
      <c r="G202">
        <v>6.0000000000000053E-2</v>
      </c>
      <c r="H202">
        <v>0.09</v>
      </c>
      <c r="I202">
        <v>0.06</v>
      </c>
      <c r="J202">
        <v>0.05</v>
      </c>
      <c r="K202">
        <v>0.04</v>
      </c>
      <c r="L202">
        <v>5.8999999999999997E-2</v>
      </c>
      <c r="M202">
        <v>0.03</v>
      </c>
      <c r="N202">
        <v>6.2490000000000004E-2</v>
      </c>
    </row>
  </sheetData>
  <mergeCells count="5">
    <mergeCell ref="B1:G1"/>
    <mergeCell ref="H1:M1"/>
    <mergeCell ref="P1:R1"/>
    <mergeCell ref="P5:R5"/>
    <mergeCell ref="T1:X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vestmentSimulation">
                <anchor moveWithCells="1" sizeWithCells="1">
                  <from>
                    <xdr:col>19</xdr:col>
                    <xdr:colOff>12700</xdr:colOff>
                    <xdr:row>12</xdr:row>
                    <xdr:rowOff>38100</xdr:rowOff>
                  </from>
                  <to>
                    <xdr:col>21</xdr:col>
                    <xdr:colOff>660400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cordResult">
                <anchor moveWithCells="1" sizeWithCells="1">
                  <from>
                    <xdr:col>19</xdr:col>
                    <xdr:colOff>38100</xdr:colOff>
                    <xdr:row>16</xdr:row>
                    <xdr:rowOff>0</xdr:rowOff>
                  </from>
                  <to>
                    <xdr:col>22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537E8-6017-478D-B1B6-83AB426B2325}">
  <sheetPr codeName="Sheet4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3</v>
      </c>
      <c r="B1">
        <v>8</v>
      </c>
      <c r="C1">
        <v>5</v>
      </c>
      <c r="D1">
        <v>2</v>
      </c>
      <c r="E1">
        <v>10</v>
      </c>
    </row>
    <row r="2" spans="1:5" x14ac:dyDescent="0.2">
      <c r="A2">
        <v>6</v>
      </c>
      <c r="B2">
        <v>1</v>
      </c>
      <c r="C2">
        <v>2</v>
      </c>
      <c r="D2">
        <v>9</v>
      </c>
      <c r="E2">
        <v>9</v>
      </c>
    </row>
    <row r="3" spans="1:5" x14ac:dyDescent="0.2">
      <c r="A3">
        <v>3</v>
      </c>
      <c r="B3">
        <v>4</v>
      </c>
      <c r="C3">
        <v>4</v>
      </c>
      <c r="D3">
        <v>9</v>
      </c>
      <c r="E3">
        <v>3</v>
      </c>
    </row>
    <row r="4" spans="1:5" x14ac:dyDescent="0.2">
      <c r="A4">
        <v>9</v>
      </c>
      <c r="B4">
        <v>5</v>
      </c>
      <c r="C4">
        <v>2</v>
      </c>
      <c r="D4">
        <v>3</v>
      </c>
      <c r="E4">
        <v>6</v>
      </c>
    </row>
    <row r="5" spans="1:5" x14ac:dyDescent="0.2">
      <c r="A5">
        <v>3</v>
      </c>
      <c r="B5">
        <v>4</v>
      </c>
      <c r="C5">
        <v>3</v>
      </c>
      <c r="D5">
        <v>4</v>
      </c>
      <c r="E5">
        <v>10</v>
      </c>
    </row>
    <row r="6" spans="1:5" x14ac:dyDescent="0.2">
      <c r="A6">
        <v>9</v>
      </c>
      <c r="B6">
        <v>6</v>
      </c>
      <c r="C6">
        <v>9</v>
      </c>
      <c r="D6">
        <v>9</v>
      </c>
      <c r="E6">
        <v>1</v>
      </c>
    </row>
    <row r="7" spans="1:5" x14ac:dyDescent="0.2">
      <c r="A7">
        <v>9</v>
      </c>
      <c r="B7">
        <v>10</v>
      </c>
      <c r="C7">
        <v>9</v>
      </c>
      <c r="D7">
        <v>2</v>
      </c>
      <c r="E7">
        <v>7</v>
      </c>
    </row>
    <row r="8" spans="1:5" x14ac:dyDescent="0.2">
      <c r="A8">
        <v>8</v>
      </c>
      <c r="B8">
        <v>1</v>
      </c>
      <c r="C8">
        <v>2</v>
      </c>
      <c r="D8">
        <v>4</v>
      </c>
      <c r="E8">
        <v>6</v>
      </c>
    </row>
    <row r="9" spans="1:5" x14ac:dyDescent="0.2">
      <c r="A9">
        <v>5</v>
      </c>
      <c r="B9">
        <v>4</v>
      </c>
      <c r="C9">
        <v>2</v>
      </c>
      <c r="D9">
        <v>4</v>
      </c>
      <c r="E9">
        <v>2</v>
      </c>
    </row>
    <row r="10" spans="1:5" x14ac:dyDescent="0.2">
      <c r="A10">
        <v>3</v>
      </c>
      <c r="B10">
        <v>3</v>
      </c>
      <c r="C10">
        <v>4</v>
      </c>
      <c r="D10">
        <v>3</v>
      </c>
      <c r="E10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45F5-9BA3-4F88-847E-F987B39ECE82}">
  <sheetPr codeName="Sheet5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10</v>
      </c>
      <c r="B1">
        <v>8</v>
      </c>
      <c r="C1">
        <v>8</v>
      </c>
      <c r="D1">
        <v>2</v>
      </c>
      <c r="E1">
        <v>8</v>
      </c>
    </row>
    <row r="2" spans="1:5" x14ac:dyDescent="0.2">
      <c r="A2">
        <v>6</v>
      </c>
      <c r="B2">
        <v>2</v>
      </c>
      <c r="C2">
        <v>9</v>
      </c>
      <c r="D2">
        <v>9</v>
      </c>
      <c r="E2">
        <v>8</v>
      </c>
    </row>
    <row r="3" spans="1:5" x14ac:dyDescent="0.2">
      <c r="A3">
        <v>2</v>
      </c>
      <c r="B3">
        <v>3</v>
      </c>
      <c r="C3">
        <v>9</v>
      </c>
      <c r="D3">
        <v>5</v>
      </c>
      <c r="E3">
        <v>8</v>
      </c>
    </row>
    <row r="4" spans="1:5" x14ac:dyDescent="0.2">
      <c r="A4">
        <v>2</v>
      </c>
      <c r="B4">
        <v>8</v>
      </c>
      <c r="C4">
        <v>7</v>
      </c>
      <c r="D4">
        <v>8</v>
      </c>
      <c r="E4">
        <v>6</v>
      </c>
    </row>
    <row r="5" spans="1:5" x14ac:dyDescent="0.2">
      <c r="A5">
        <v>3</v>
      </c>
      <c r="B5">
        <v>10</v>
      </c>
      <c r="C5">
        <v>6</v>
      </c>
      <c r="D5">
        <v>8</v>
      </c>
      <c r="E5">
        <v>4</v>
      </c>
    </row>
    <row r="6" spans="1:5" x14ac:dyDescent="0.2">
      <c r="A6">
        <v>6</v>
      </c>
      <c r="B6">
        <v>1</v>
      </c>
      <c r="C6">
        <v>4</v>
      </c>
      <c r="D6">
        <v>2</v>
      </c>
      <c r="E6">
        <v>6</v>
      </c>
    </row>
    <row r="7" spans="1:5" x14ac:dyDescent="0.2">
      <c r="A7">
        <v>9</v>
      </c>
      <c r="B7">
        <v>5</v>
      </c>
      <c r="C7">
        <v>1</v>
      </c>
      <c r="D7">
        <v>5</v>
      </c>
      <c r="E7">
        <v>2</v>
      </c>
    </row>
    <row r="8" spans="1:5" x14ac:dyDescent="0.2">
      <c r="A8">
        <v>8</v>
      </c>
      <c r="B8">
        <v>9</v>
      </c>
      <c r="C8">
        <v>2</v>
      </c>
      <c r="D8">
        <v>5</v>
      </c>
      <c r="E8">
        <v>3</v>
      </c>
    </row>
    <row r="9" spans="1:5" x14ac:dyDescent="0.2">
      <c r="A9">
        <v>4</v>
      </c>
      <c r="B9">
        <v>8</v>
      </c>
      <c r="C9">
        <v>10</v>
      </c>
      <c r="D9">
        <v>7</v>
      </c>
      <c r="E9">
        <v>6</v>
      </c>
    </row>
    <row r="10" spans="1:5" x14ac:dyDescent="0.2">
      <c r="A10">
        <v>2</v>
      </c>
      <c r="B10">
        <v>8</v>
      </c>
      <c r="C10">
        <v>5</v>
      </c>
      <c r="D10">
        <v>6</v>
      </c>
      <c r="E10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2F18-3086-4E18-91A0-99D28BFF4758}">
  <sheetPr codeName="Sheet6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8</v>
      </c>
      <c r="B1">
        <v>5</v>
      </c>
      <c r="C1">
        <v>9</v>
      </c>
      <c r="D1">
        <v>1</v>
      </c>
      <c r="E1">
        <v>3</v>
      </c>
    </row>
    <row r="2" spans="1:5" x14ac:dyDescent="0.2">
      <c r="A2">
        <v>4</v>
      </c>
      <c r="B2">
        <v>2</v>
      </c>
      <c r="C2">
        <v>7</v>
      </c>
      <c r="D2">
        <v>10</v>
      </c>
      <c r="E2">
        <v>1</v>
      </c>
    </row>
    <row r="3" spans="1:5" x14ac:dyDescent="0.2">
      <c r="A3">
        <v>2</v>
      </c>
      <c r="B3">
        <v>5</v>
      </c>
      <c r="C3">
        <v>4</v>
      </c>
      <c r="D3">
        <v>8</v>
      </c>
      <c r="E3">
        <v>8</v>
      </c>
    </row>
    <row r="4" spans="1:5" x14ac:dyDescent="0.2">
      <c r="A4">
        <v>8</v>
      </c>
      <c r="B4">
        <v>5</v>
      </c>
      <c r="C4">
        <v>8</v>
      </c>
      <c r="D4">
        <v>6</v>
      </c>
      <c r="E4">
        <v>9</v>
      </c>
    </row>
    <row r="5" spans="1:5" x14ac:dyDescent="0.2">
      <c r="A5">
        <v>2</v>
      </c>
      <c r="B5">
        <v>9</v>
      </c>
      <c r="C5">
        <v>1</v>
      </c>
      <c r="D5">
        <v>7</v>
      </c>
      <c r="E5">
        <v>5</v>
      </c>
    </row>
    <row r="6" spans="1:5" x14ac:dyDescent="0.2">
      <c r="A6">
        <v>3</v>
      </c>
      <c r="B6">
        <v>10</v>
      </c>
      <c r="C6">
        <v>8</v>
      </c>
      <c r="D6">
        <v>10</v>
      </c>
      <c r="E6">
        <v>1</v>
      </c>
    </row>
    <row r="7" spans="1:5" x14ac:dyDescent="0.2">
      <c r="A7">
        <v>3</v>
      </c>
      <c r="B7">
        <v>8</v>
      </c>
      <c r="C7">
        <v>8</v>
      </c>
      <c r="D7">
        <v>9</v>
      </c>
      <c r="E7">
        <v>8</v>
      </c>
    </row>
    <row r="8" spans="1:5" x14ac:dyDescent="0.2">
      <c r="A8">
        <v>5</v>
      </c>
      <c r="B8">
        <v>10</v>
      </c>
      <c r="C8">
        <v>8</v>
      </c>
      <c r="D8">
        <v>8</v>
      </c>
      <c r="E8">
        <v>8</v>
      </c>
    </row>
    <row r="9" spans="1:5" x14ac:dyDescent="0.2">
      <c r="A9">
        <v>9</v>
      </c>
      <c r="B9">
        <v>4</v>
      </c>
      <c r="C9">
        <v>6</v>
      </c>
      <c r="D9">
        <v>5</v>
      </c>
      <c r="E9">
        <v>9</v>
      </c>
    </row>
    <row r="10" spans="1:5" x14ac:dyDescent="0.2">
      <c r="A10">
        <v>3</v>
      </c>
      <c r="B10">
        <v>7</v>
      </c>
      <c r="C10">
        <v>7</v>
      </c>
      <c r="D10">
        <v>3</v>
      </c>
      <c r="E10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5DF9-1C94-4003-83B8-FBB26494295A}">
  <sheetPr codeName="Sheet7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2</v>
      </c>
      <c r="B1">
        <v>1</v>
      </c>
      <c r="C1">
        <v>4</v>
      </c>
      <c r="D1">
        <v>1</v>
      </c>
      <c r="E1">
        <v>7</v>
      </c>
    </row>
    <row r="2" spans="1:5" x14ac:dyDescent="0.2">
      <c r="A2">
        <v>9</v>
      </c>
      <c r="B2">
        <v>3</v>
      </c>
      <c r="C2">
        <v>6</v>
      </c>
      <c r="D2">
        <v>9</v>
      </c>
      <c r="E2">
        <v>7</v>
      </c>
    </row>
    <row r="3" spans="1:5" x14ac:dyDescent="0.2">
      <c r="A3">
        <v>2</v>
      </c>
      <c r="B3">
        <v>5</v>
      </c>
      <c r="C3">
        <v>3</v>
      </c>
      <c r="D3">
        <v>1</v>
      </c>
      <c r="E3">
        <v>10</v>
      </c>
    </row>
    <row r="4" spans="1:5" x14ac:dyDescent="0.2">
      <c r="A4">
        <v>5</v>
      </c>
      <c r="B4">
        <v>1</v>
      </c>
      <c r="C4">
        <v>8</v>
      </c>
      <c r="D4">
        <v>8</v>
      </c>
      <c r="E4">
        <v>7</v>
      </c>
    </row>
    <row r="5" spans="1:5" x14ac:dyDescent="0.2">
      <c r="A5">
        <v>7</v>
      </c>
      <c r="B5">
        <v>10</v>
      </c>
      <c r="C5">
        <v>7</v>
      </c>
      <c r="D5">
        <v>5</v>
      </c>
      <c r="E5">
        <v>9</v>
      </c>
    </row>
    <row r="6" spans="1:5" x14ac:dyDescent="0.2">
      <c r="A6">
        <v>10</v>
      </c>
      <c r="B6">
        <v>3</v>
      </c>
      <c r="C6">
        <v>2</v>
      </c>
      <c r="D6">
        <v>4</v>
      </c>
      <c r="E6">
        <v>5</v>
      </c>
    </row>
    <row r="7" spans="1:5" x14ac:dyDescent="0.2">
      <c r="A7">
        <v>10</v>
      </c>
      <c r="B7">
        <v>1</v>
      </c>
      <c r="C7">
        <v>7</v>
      </c>
      <c r="D7">
        <v>2</v>
      </c>
      <c r="E7">
        <v>4</v>
      </c>
    </row>
    <row r="8" spans="1:5" x14ac:dyDescent="0.2">
      <c r="A8">
        <v>10</v>
      </c>
      <c r="B8">
        <v>1</v>
      </c>
      <c r="C8">
        <v>7</v>
      </c>
      <c r="D8">
        <v>6</v>
      </c>
      <c r="E8">
        <v>10</v>
      </c>
    </row>
    <row r="9" spans="1:5" x14ac:dyDescent="0.2">
      <c r="A9">
        <v>10</v>
      </c>
      <c r="B9">
        <v>1</v>
      </c>
      <c r="C9">
        <v>5</v>
      </c>
      <c r="D9">
        <v>6</v>
      </c>
      <c r="E9">
        <v>10</v>
      </c>
    </row>
    <row r="10" spans="1:5" x14ac:dyDescent="0.2">
      <c r="A10">
        <v>1</v>
      </c>
      <c r="B10">
        <v>8</v>
      </c>
      <c r="C10">
        <v>7</v>
      </c>
      <c r="D10">
        <v>9</v>
      </c>
      <c r="E10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E0F54-D170-4552-9A1C-03DEBD28AC18}">
  <sheetPr codeName="Sheet8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7</v>
      </c>
      <c r="B1">
        <v>3</v>
      </c>
      <c r="C1">
        <v>6</v>
      </c>
      <c r="D1">
        <v>4</v>
      </c>
      <c r="E1">
        <v>10</v>
      </c>
    </row>
    <row r="2" spans="1:5" x14ac:dyDescent="0.2">
      <c r="A2">
        <v>5</v>
      </c>
      <c r="B2">
        <v>1</v>
      </c>
      <c r="C2">
        <v>7</v>
      </c>
      <c r="D2">
        <v>5</v>
      </c>
      <c r="E2">
        <v>8</v>
      </c>
    </row>
    <row r="3" spans="1:5" x14ac:dyDescent="0.2">
      <c r="A3">
        <v>1</v>
      </c>
      <c r="B3">
        <v>4</v>
      </c>
      <c r="C3">
        <v>7</v>
      </c>
      <c r="D3">
        <v>8</v>
      </c>
      <c r="E3">
        <v>10</v>
      </c>
    </row>
    <row r="4" spans="1:5" x14ac:dyDescent="0.2">
      <c r="A4">
        <v>7</v>
      </c>
      <c r="B4">
        <v>7</v>
      </c>
      <c r="C4">
        <v>8</v>
      </c>
      <c r="D4">
        <v>2</v>
      </c>
      <c r="E4">
        <v>2</v>
      </c>
    </row>
    <row r="5" spans="1:5" x14ac:dyDescent="0.2">
      <c r="A5">
        <v>9</v>
      </c>
      <c r="B5">
        <v>8</v>
      </c>
      <c r="C5">
        <v>7</v>
      </c>
      <c r="D5">
        <v>3</v>
      </c>
      <c r="E5">
        <v>3</v>
      </c>
    </row>
    <row r="6" spans="1:5" x14ac:dyDescent="0.2">
      <c r="A6">
        <v>2</v>
      </c>
      <c r="B6">
        <v>10</v>
      </c>
      <c r="C6">
        <v>8</v>
      </c>
      <c r="D6">
        <v>9</v>
      </c>
      <c r="E6">
        <v>9</v>
      </c>
    </row>
    <row r="7" spans="1:5" x14ac:dyDescent="0.2">
      <c r="A7">
        <v>2</v>
      </c>
      <c r="B7">
        <v>7</v>
      </c>
      <c r="C7">
        <v>6</v>
      </c>
      <c r="D7">
        <v>5</v>
      </c>
      <c r="E7">
        <v>9</v>
      </c>
    </row>
    <row r="8" spans="1:5" x14ac:dyDescent="0.2">
      <c r="A8">
        <v>7</v>
      </c>
      <c r="B8">
        <v>5</v>
      </c>
      <c r="C8">
        <v>5</v>
      </c>
      <c r="D8">
        <v>5</v>
      </c>
      <c r="E8">
        <v>9</v>
      </c>
    </row>
    <row r="9" spans="1:5" x14ac:dyDescent="0.2">
      <c r="A9">
        <v>5</v>
      </c>
      <c r="B9">
        <v>4</v>
      </c>
      <c r="C9">
        <v>2</v>
      </c>
      <c r="D9">
        <v>8</v>
      </c>
      <c r="E9">
        <v>6</v>
      </c>
    </row>
    <row r="10" spans="1:5" x14ac:dyDescent="0.2">
      <c r="A10">
        <v>2</v>
      </c>
      <c r="B10">
        <v>8</v>
      </c>
      <c r="C10">
        <v>7</v>
      </c>
      <c r="D10">
        <v>8</v>
      </c>
      <c r="E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7EC9-EF04-4B56-8B2E-D92646BB7372}">
  <sheetPr codeName="Sheet9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7</v>
      </c>
      <c r="B1">
        <v>4</v>
      </c>
      <c r="C1">
        <v>9</v>
      </c>
      <c r="D1">
        <v>6</v>
      </c>
      <c r="E1">
        <v>7</v>
      </c>
    </row>
    <row r="2" spans="1:5" x14ac:dyDescent="0.2">
      <c r="A2">
        <v>8</v>
      </c>
      <c r="B2">
        <v>6</v>
      </c>
      <c r="C2">
        <v>2</v>
      </c>
      <c r="D2">
        <v>10</v>
      </c>
      <c r="E2">
        <v>9</v>
      </c>
    </row>
    <row r="3" spans="1:5" x14ac:dyDescent="0.2">
      <c r="A3">
        <v>3</v>
      </c>
      <c r="B3">
        <v>3</v>
      </c>
      <c r="C3">
        <v>6</v>
      </c>
      <c r="D3">
        <v>8</v>
      </c>
      <c r="E3">
        <v>4</v>
      </c>
    </row>
    <row r="4" spans="1:5" x14ac:dyDescent="0.2">
      <c r="A4">
        <v>10</v>
      </c>
      <c r="B4">
        <v>4</v>
      </c>
      <c r="C4">
        <v>4</v>
      </c>
      <c r="D4">
        <v>4</v>
      </c>
      <c r="E4">
        <v>1</v>
      </c>
    </row>
    <row r="5" spans="1:5" x14ac:dyDescent="0.2">
      <c r="A5">
        <v>3</v>
      </c>
      <c r="B5">
        <v>1</v>
      </c>
      <c r="C5">
        <v>8</v>
      </c>
      <c r="D5">
        <v>2</v>
      </c>
      <c r="E5">
        <v>2</v>
      </c>
    </row>
    <row r="6" spans="1:5" x14ac:dyDescent="0.2">
      <c r="A6">
        <v>4</v>
      </c>
      <c r="B6">
        <v>9</v>
      </c>
      <c r="C6">
        <v>5</v>
      </c>
      <c r="D6">
        <v>6</v>
      </c>
      <c r="E6">
        <v>6</v>
      </c>
    </row>
    <row r="7" spans="1:5" x14ac:dyDescent="0.2">
      <c r="A7">
        <v>1</v>
      </c>
      <c r="B7">
        <v>7</v>
      </c>
      <c r="C7">
        <v>6</v>
      </c>
      <c r="D7">
        <v>3</v>
      </c>
      <c r="E7">
        <v>2</v>
      </c>
    </row>
    <row r="8" spans="1:5" x14ac:dyDescent="0.2">
      <c r="A8">
        <v>6</v>
      </c>
      <c r="B8">
        <v>7</v>
      </c>
      <c r="C8">
        <v>2</v>
      </c>
      <c r="D8">
        <v>4</v>
      </c>
      <c r="E8">
        <v>6</v>
      </c>
    </row>
    <row r="9" spans="1:5" x14ac:dyDescent="0.2">
      <c r="A9">
        <v>8</v>
      </c>
      <c r="B9">
        <v>8</v>
      </c>
      <c r="C9">
        <v>10</v>
      </c>
      <c r="D9">
        <v>4</v>
      </c>
      <c r="E9">
        <v>1</v>
      </c>
    </row>
    <row r="10" spans="1:5" x14ac:dyDescent="0.2">
      <c r="A10">
        <v>1</v>
      </c>
      <c r="B10">
        <v>9</v>
      </c>
      <c r="C10">
        <v>6</v>
      </c>
      <c r="D10">
        <v>1</v>
      </c>
      <c r="E1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E1DAA-E809-4B56-BC49-0509F24C9AB5}">
  <sheetPr codeName="Sheet10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3</v>
      </c>
      <c r="B1">
        <v>8</v>
      </c>
      <c r="C1">
        <v>10</v>
      </c>
      <c r="D1">
        <v>1</v>
      </c>
      <c r="E1">
        <v>9</v>
      </c>
    </row>
    <row r="2" spans="1:5" x14ac:dyDescent="0.2">
      <c r="A2">
        <v>9</v>
      </c>
      <c r="B2">
        <v>10</v>
      </c>
      <c r="C2">
        <v>10</v>
      </c>
      <c r="D2">
        <v>2</v>
      </c>
      <c r="E2">
        <v>4</v>
      </c>
    </row>
    <row r="3" spans="1:5" x14ac:dyDescent="0.2">
      <c r="A3">
        <v>1</v>
      </c>
      <c r="B3">
        <v>6</v>
      </c>
      <c r="C3">
        <v>4</v>
      </c>
      <c r="D3">
        <v>8</v>
      </c>
      <c r="E3">
        <v>2</v>
      </c>
    </row>
    <row r="4" spans="1:5" x14ac:dyDescent="0.2">
      <c r="A4">
        <v>3</v>
      </c>
      <c r="B4">
        <v>4</v>
      </c>
      <c r="C4">
        <v>9</v>
      </c>
      <c r="D4">
        <v>3</v>
      </c>
      <c r="E4">
        <v>9</v>
      </c>
    </row>
    <row r="5" spans="1:5" x14ac:dyDescent="0.2">
      <c r="A5">
        <v>5</v>
      </c>
      <c r="B5">
        <v>6</v>
      </c>
      <c r="C5">
        <v>7</v>
      </c>
      <c r="D5">
        <v>7</v>
      </c>
      <c r="E5">
        <v>8</v>
      </c>
    </row>
    <row r="6" spans="1:5" x14ac:dyDescent="0.2">
      <c r="A6">
        <v>8</v>
      </c>
      <c r="B6">
        <v>4</v>
      </c>
      <c r="C6">
        <v>9</v>
      </c>
      <c r="D6">
        <v>2</v>
      </c>
      <c r="E6">
        <v>10</v>
      </c>
    </row>
    <row r="7" spans="1:5" x14ac:dyDescent="0.2">
      <c r="A7">
        <v>6</v>
      </c>
      <c r="B7">
        <v>9</v>
      </c>
      <c r="C7">
        <v>4</v>
      </c>
      <c r="D7">
        <v>10</v>
      </c>
      <c r="E7">
        <v>4</v>
      </c>
    </row>
    <row r="8" spans="1:5" x14ac:dyDescent="0.2">
      <c r="A8">
        <v>4</v>
      </c>
      <c r="B8">
        <v>9</v>
      </c>
      <c r="C8">
        <v>8</v>
      </c>
      <c r="D8">
        <v>5</v>
      </c>
      <c r="E8">
        <v>1</v>
      </c>
    </row>
    <row r="9" spans="1:5" x14ac:dyDescent="0.2">
      <c r="A9">
        <v>2</v>
      </c>
      <c r="B9">
        <v>4</v>
      </c>
      <c r="C9">
        <v>7</v>
      </c>
      <c r="D9">
        <v>3</v>
      </c>
      <c r="E9">
        <v>9</v>
      </c>
    </row>
    <row r="10" spans="1:5" x14ac:dyDescent="0.2">
      <c r="A10">
        <v>1</v>
      </c>
      <c r="B10">
        <v>1</v>
      </c>
      <c r="C10">
        <v>1</v>
      </c>
      <c r="D10">
        <v>9</v>
      </c>
      <c r="E10"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0F7B5-C214-413E-B4EE-6ED348B9A268}">
  <sheetPr codeName="Sheet11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6</v>
      </c>
      <c r="B1">
        <v>6</v>
      </c>
      <c r="C1">
        <v>6</v>
      </c>
      <c r="D1">
        <v>4</v>
      </c>
      <c r="E1">
        <v>5</v>
      </c>
    </row>
    <row r="2" spans="1:5" x14ac:dyDescent="0.2">
      <c r="A2">
        <v>7</v>
      </c>
      <c r="B2">
        <v>2</v>
      </c>
      <c r="C2">
        <v>5</v>
      </c>
      <c r="D2">
        <v>7</v>
      </c>
      <c r="E2">
        <v>1</v>
      </c>
    </row>
    <row r="3" spans="1:5" x14ac:dyDescent="0.2">
      <c r="A3">
        <v>8</v>
      </c>
      <c r="B3">
        <v>1</v>
      </c>
      <c r="C3">
        <v>8</v>
      </c>
      <c r="D3">
        <v>9</v>
      </c>
      <c r="E3">
        <v>4</v>
      </c>
    </row>
    <row r="4" spans="1:5" x14ac:dyDescent="0.2">
      <c r="A4">
        <v>8</v>
      </c>
      <c r="B4">
        <v>7</v>
      </c>
      <c r="C4">
        <v>2</v>
      </c>
      <c r="D4">
        <v>7</v>
      </c>
      <c r="E4">
        <v>5</v>
      </c>
    </row>
    <row r="5" spans="1:5" x14ac:dyDescent="0.2">
      <c r="A5">
        <v>1</v>
      </c>
      <c r="B5">
        <v>5</v>
      </c>
      <c r="C5">
        <v>9</v>
      </c>
      <c r="D5">
        <v>10</v>
      </c>
      <c r="E5">
        <v>1</v>
      </c>
    </row>
    <row r="6" spans="1:5" x14ac:dyDescent="0.2">
      <c r="A6">
        <v>2</v>
      </c>
      <c r="B6">
        <v>3</v>
      </c>
      <c r="C6">
        <v>8</v>
      </c>
      <c r="D6">
        <v>8</v>
      </c>
      <c r="E6">
        <v>3</v>
      </c>
    </row>
    <row r="7" spans="1:5" x14ac:dyDescent="0.2">
      <c r="A7">
        <v>1</v>
      </c>
      <c r="B7">
        <v>8</v>
      </c>
      <c r="C7">
        <v>8</v>
      </c>
      <c r="D7">
        <v>4</v>
      </c>
      <c r="E7">
        <v>9</v>
      </c>
    </row>
    <row r="8" spans="1:5" x14ac:dyDescent="0.2">
      <c r="A8">
        <v>2</v>
      </c>
      <c r="B8">
        <v>1</v>
      </c>
      <c r="C8">
        <v>7</v>
      </c>
      <c r="D8">
        <v>7</v>
      </c>
      <c r="E8">
        <v>3</v>
      </c>
    </row>
    <row r="9" spans="1:5" x14ac:dyDescent="0.2">
      <c r="A9">
        <v>6</v>
      </c>
      <c r="B9">
        <v>3</v>
      </c>
      <c r="C9">
        <v>4</v>
      </c>
      <c r="D9">
        <v>9</v>
      </c>
      <c r="E9">
        <v>4</v>
      </c>
    </row>
    <row r="10" spans="1:5" x14ac:dyDescent="0.2">
      <c r="A10">
        <v>3</v>
      </c>
      <c r="B10">
        <v>6</v>
      </c>
      <c r="C10">
        <v>4</v>
      </c>
      <c r="D10">
        <v>5</v>
      </c>
      <c r="E10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031CE-5C12-4727-ABED-EC88C234AE65}">
  <sheetPr codeName="Sheet12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6</v>
      </c>
      <c r="B1">
        <v>9</v>
      </c>
      <c r="C1">
        <v>1</v>
      </c>
      <c r="D1">
        <v>10</v>
      </c>
      <c r="E1">
        <v>10</v>
      </c>
    </row>
    <row r="2" spans="1:5" x14ac:dyDescent="0.2">
      <c r="A2">
        <v>8</v>
      </c>
      <c r="B2">
        <v>1</v>
      </c>
      <c r="C2">
        <v>2</v>
      </c>
      <c r="D2">
        <v>3</v>
      </c>
      <c r="E2">
        <v>3</v>
      </c>
    </row>
    <row r="3" spans="1:5" x14ac:dyDescent="0.2">
      <c r="A3">
        <v>10</v>
      </c>
      <c r="B3">
        <v>9</v>
      </c>
      <c r="C3">
        <v>6</v>
      </c>
      <c r="D3">
        <v>6</v>
      </c>
      <c r="E3">
        <v>7</v>
      </c>
    </row>
    <row r="4" spans="1:5" x14ac:dyDescent="0.2">
      <c r="A4">
        <v>3</v>
      </c>
      <c r="B4">
        <v>10</v>
      </c>
      <c r="C4">
        <v>1</v>
      </c>
      <c r="D4">
        <v>6</v>
      </c>
      <c r="E4">
        <v>8</v>
      </c>
    </row>
    <row r="5" spans="1:5" x14ac:dyDescent="0.2">
      <c r="A5">
        <v>2</v>
      </c>
      <c r="B5">
        <v>5</v>
      </c>
      <c r="C5">
        <v>4</v>
      </c>
      <c r="D5">
        <v>7</v>
      </c>
      <c r="E5">
        <v>4</v>
      </c>
    </row>
    <row r="6" spans="1:5" x14ac:dyDescent="0.2">
      <c r="A6">
        <v>7</v>
      </c>
      <c r="B6">
        <v>8</v>
      </c>
      <c r="C6">
        <v>6</v>
      </c>
      <c r="D6">
        <v>6</v>
      </c>
      <c r="E6">
        <v>1</v>
      </c>
    </row>
    <row r="7" spans="1:5" x14ac:dyDescent="0.2">
      <c r="A7">
        <v>8</v>
      </c>
      <c r="B7">
        <v>7</v>
      </c>
      <c r="C7">
        <v>8</v>
      </c>
      <c r="D7">
        <v>6</v>
      </c>
      <c r="E7">
        <v>2</v>
      </c>
    </row>
    <row r="8" spans="1:5" x14ac:dyDescent="0.2">
      <c r="A8">
        <v>4</v>
      </c>
      <c r="B8">
        <v>6</v>
      </c>
      <c r="C8">
        <v>2</v>
      </c>
      <c r="D8">
        <v>6</v>
      </c>
      <c r="E8">
        <v>2</v>
      </c>
    </row>
    <row r="9" spans="1:5" x14ac:dyDescent="0.2">
      <c r="A9">
        <v>2</v>
      </c>
      <c r="B9">
        <v>3</v>
      </c>
      <c r="C9">
        <v>4</v>
      </c>
      <c r="D9">
        <v>7</v>
      </c>
      <c r="E9">
        <v>6</v>
      </c>
    </row>
    <row r="10" spans="1:5" x14ac:dyDescent="0.2">
      <c r="A10">
        <v>6</v>
      </c>
      <c r="B10">
        <v>4</v>
      </c>
      <c r="C10">
        <v>1</v>
      </c>
      <c r="D10">
        <v>1</v>
      </c>
      <c r="E10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2A6B-11E7-4745-AB89-07FF5CFECC81}">
  <sheetPr codeName="Sheet13">
    <tabColor rgb="FFFFC000"/>
  </sheetPr>
  <dimension ref="A1:E10"/>
  <sheetViews>
    <sheetView workbookViewId="0">
      <selection sqref="A1:E10"/>
    </sheetView>
  </sheetViews>
  <sheetFormatPr baseColWidth="10" defaultColWidth="8.83203125" defaultRowHeight="15" x14ac:dyDescent="0.2"/>
  <sheetData>
    <row r="1" spans="1:5" x14ac:dyDescent="0.2">
      <c r="A1">
        <v>2</v>
      </c>
      <c r="B1">
        <v>7</v>
      </c>
      <c r="C1">
        <v>2</v>
      </c>
      <c r="D1">
        <v>9</v>
      </c>
      <c r="E1">
        <v>3</v>
      </c>
    </row>
    <row r="2" spans="1:5" x14ac:dyDescent="0.2">
      <c r="A2">
        <v>5</v>
      </c>
      <c r="B2">
        <v>9</v>
      </c>
      <c r="C2">
        <v>6</v>
      </c>
      <c r="D2">
        <v>7</v>
      </c>
      <c r="E2">
        <v>9</v>
      </c>
    </row>
    <row r="3" spans="1:5" x14ac:dyDescent="0.2">
      <c r="A3">
        <v>4</v>
      </c>
      <c r="B3">
        <v>6</v>
      </c>
      <c r="C3">
        <v>3</v>
      </c>
      <c r="D3">
        <v>1</v>
      </c>
      <c r="E3">
        <v>9</v>
      </c>
    </row>
    <row r="4" spans="1:5" x14ac:dyDescent="0.2">
      <c r="A4">
        <v>5</v>
      </c>
      <c r="B4">
        <v>10</v>
      </c>
      <c r="C4">
        <v>2</v>
      </c>
      <c r="D4">
        <v>10</v>
      </c>
      <c r="E4">
        <v>4</v>
      </c>
    </row>
    <row r="5" spans="1:5" x14ac:dyDescent="0.2">
      <c r="A5">
        <v>4</v>
      </c>
      <c r="B5">
        <v>10</v>
      </c>
      <c r="C5">
        <v>7</v>
      </c>
      <c r="D5">
        <v>5</v>
      </c>
      <c r="E5">
        <v>8</v>
      </c>
    </row>
    <row r="6" spans="1:5" x14ac:dyDescent="0.2">
      <c r="A6">
        <v>5</v>
      </c>
      <c r="B6">
        <v>10</v>
      </c>
      <c r="C6">
        <v>1</v>
      </c>
      <c r="D6">
        <v>9</v>
      </c>
      <c r="E6">
        <v>4</v>
      </c>
    </row>
    <row r="7" spans="1:5" x14ac:dyDescent="0.2">
      <c r="A7">
        <v>6</v>
      </c>
      <c r="B7">
        <v>5</v>
      </c>
      <c r="C7">
        <v>2</v>
      </c>
      <c r="D7">
        <v>6</v>
      </c>
      <c r="E7">
        <v>2</v>
      </c>
    </row>
    <row r="8" spans="1:5" x14ac:dyDescent="0.2">
      <c r="A8">
        <v>8</v>
      </c>
      <c r="B8">
        <v>6</v>
      </c>
      <c r="C8">
        <v>1</v>
      </c>
      <c r="D8">
        <v>2</v>
      </c>
      <c r="E8">
        <v>9</v>
      </c>
    </row>
    <row r="9" spans="1:5" x14ac:dyDescent="0.2">
      <c r="A9">
        <v>6</v>
      </c>
      <c r="B9">
        <v>10</v>
      </c>
      <c r="C9">
        <v>4</v>
      </c>
      <c r="D9">
        <v>3</v>
      </c>
      <c r="E9">
        <v>5</v>
      </c>
    </row>
    <row r="10" spans="1:5" x14ac:dyDescent="0.2">
      <c r="A10">
        <v>8</v>
      </c>
      <c r="B10">
        <v>10</v>
      </c>
      <c r="C10">
        <v>4</v>
      </c>
      <c r="D10">
        <v>6</v>
      </c>
      <c r="E10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Model Processing</vt:lpstr>
      <vt:lpstr>Investment Simulation</vt:lpstr>
      <vt:lpstr>Inputs1</vt:lpstr>
      <vt:lpstr>Inputs2</vt:lpstr>
      <vt:lpstr>Inputs3</vt:lpstr>
      <vt:lpstr>Inputs4</vt:lpstr>
      <vt:lpstr>Inputs5</vt:lpstr>
      <vt:lpstr>Inputs6</vt:lpstr>
      <vt:lpstr>Inputs7</vt:lpstr>
      <vt:lpstr>Inputs8</vt:lpstr>
      <vt:lpstr>Inputs9</vt:lpstr>
      <vt:lpstr>Inputs10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Cedean Kematick</dc:creator>
  <cp:lastModifiedBy>Mezouari Amine</cp:lastModifiedBy>
  <dcterms:created xsi:type="dcterms:W3CDTF">2023-11-22T20:16:24Z</dcterms:created>
  <dcterms:modified xsi:type="dcterms:W3CDTF">2025-07-09T11:03:46Z</dcterms:modified>
</cp:coreProperties>
</file>